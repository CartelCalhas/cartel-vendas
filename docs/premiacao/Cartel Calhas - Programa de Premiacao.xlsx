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Vendedores" sheetId="2" state="visible" r:id="rId4"/>
    <sheet name="Fabricadores" sheetId="3" state="visible" r:id="rId5"/>
    <sheet name="Entregadores" sheetId="4" state="visible" r:id="rId6"/>
    <sheet name="Destaque do Mes" sheetId="5" state="visible" r:id="rId7"/>
    <sheet name="Ranking Mensal" sheetId="6" state="visible" r:id="rId8"/>
    <sheet name="Historico Trimestral e Anu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<sst xmlns="http://schemas.openxmlformats.org/spreadsheetml/2006/main" count="233" uniqueCount="174">
  <si>
    <t xml:space="preserve">CARTEL CALHAS — PROGRAMA DE PREMIACAO E RECONHECIMENTO</t>
  </si>
  <si>
    <t xml:space="preserve">Como usar esta planilha</t>
  </si>
  <si>
    <t xml:space="preserve">Esta pasta de trabalho tem uma aba de pontuacao para cada categoria (Vendedores, Fabricadores, Entregadores e Destaque do Mes), uma aba de Ranking Mensal e uma aba de Historico Trimestral/Anual. Preencha os dados reais do mes em cada aba de categoria; as colunas de pontuacao calculam sozinhas.</t>
  </si>
  <si>
    <t xml:space="preserve">Legenda de cores</t>
  </si>
  <si>
    <t xml:space="preserve">Azul sobre fundo claro = celula que voce preenche (dado real do mes ou meta definida pela gestao). Preto = formula automatica, nao edite. Fundo amarelo = meta/parametro-chave que a gestao define no inicio do mes.</t>
  </si>
  <si>
    <t xml:space="preserve">Rotina mensal recomendada</t>
  </si>
  <si>
    <t xml:space="preserve">1. No 1o dia util do mes, duplique as abas de categoria (botao direito na aba &gt; Mover ou copiar &gt; Criar copia) e renomeie com o mes (ex: 'Vendedores - Marco'). Isso preserva o historico de cada mes.
2. Ao longo do mes, va atualizando os dados reais (vendas, entregas, producao, faltas, advertencias etc.) com base nos relatorios do sistema de vendas, da producao e do RH.
3. No ultimo dia util do mes, confira a coluna 'Elegivel ao Premio do Mes' e a coluna de Ranking em cada aba.
4. Leve o ranking para a reuniao do comite de premiacao (ver regras contra favoritismo no manual completo do programa) e confirme os vencedores na aba 'Ranking Mensal'.
5. Copie a Nota Final de cada funcionario para a aba 'Historico Trimestral e Anual' para acompanhar a evolucao e calcular o Trofeu Cartel Calhas do trimestre/ano.</t>
  </si>
  <si>
    <t xml:space="preserve">Regras que ja estao dentro das formulas</t>
  </si>
  <si>
    <t xml:space="preserve">- Pontuacao de 0 a 100, resultado da soma dos pesos de cada criterio (os pesos exatos estao no cabecalho de cada coluna, ex: '/20' = vale ate 20 pontos).
- Nota minima para receber premiacao no mes: 60 pontos. Abaixo disso, a coluna 'Elegivel' mostra 'NAO (abaixo do minimo)' mesmo que a pessoa esteja em 1o lugar no ranking — nesse caso, o premio do mes fica retido e reforcado no mes seguinte (ver manual).
- Falta injustificada no mes ou suspensao disciplinar = 'NAO' automatico na elegibilidade do mes (a pessoa continua concorrendo nos meses seguintes).
- Advertencia formal desconta 15 pontos da nota final; falta injustificada desconta 10 pontos (alem de zerar a elegibilidade do mes); suspensao desconta 30 pontos.
- Nivel do Trofeu Cartel Calhas: Bronze = 70 a 79,9 pontos · Prata = 80 a 89,9 pontos · Ouro = 90 a 100 pontos. E por faixa de nota (nao por posicao no ranking), entao mais de uma pessoa pode ganhar Ouro no mesmo mes.</t>
  </si>
  <si>
    <t xml:space="preserve">Metas de exemplo</t>
  </si>
  <si>
    <t xml:space="preserve">As metas em amarelo (faturamento, produtividade, indices aceitaveis de erro/desperdicio etc.) vieram preenchidas com valores de exemplo. Substitua pelos numeros reais que fazem sentido para o porte da Cartel Calhas antes de usar a planilha com a equipe.</t>
  </si>
  <si>
    <t xml:space="preserve">Linhas de exemplo</t>
  </si>
  <si>
    <t xml:space="preserve">As 3 primeiras linhas de cada aba de categoria trazem funcionarios FICTICIOS (marcados '(exemplo)') so para mostrar como preencher e como as formulas reagem. Apague essas linhas — ou sobrescreva com sua equipe real — antes do primeiro uso oficial.</t>
  </si>
  <si>
    <t xml:space="preserve">Este arquivo e o companheiro operacional do manual completo do programa 'Trofeu Cartel Calhas', que traz os nomes dos premios, os valores em R$, as regras de desempate, o modelo de certificado e a forma de comunicar os resultados para a equipe.</t>
  </si>
  <si>
    <t xml:space="preserve">CARTEL CALHAS — PONTUAÇÃO MENSAL: VENDEDORES</t>
  </si>
  <si>
    <t xml:space="preserve">Mês de referência: ______ / Preencha as células azuis. As colunas pretas calculam automaticamente.</t>
  </si>
  <si>
    <t xml:space="preserve">PARAMETROS / METAS DO MES (definidos pela gestao)</t>
  </si>
  <si>
    <t xml:space="preserve">Meta de Faturamento (R$)</t>
  </si>
  <si>
    <t xml:space="preserve">Meta de Número de Vendas</t>
  </si>
  <si>
    <t xml:space="preserve">Meta de Taxa de Conversão de Orçamentos</t>
  </si>
  <si>
    <t xml:space="preserve">Índice de Erros Aceitável (máximo tolerado)</t>
  </si>
  <si>
    <t xml:space="preserve">Meta de % de Vendas com Produtos Complementares</t>
  </si>
  <si>
    <t xml:space="preserve">Nome do Vendedor</t>
  </si>
  <si>
    <t xml:space="preserve">Faturamento em Vendas (R$)</t>
  </si>
  <si>
    <t xml:space="preserve">Nº de Vendas Fechadas</t>
  </si>
  <si>
    <t xml:space="preserve">Nº de Orçamentos Enviados</t>
  </si>
  <si>
    <t xml:space="preserve">Nº de Orçamentos Convertidos</t>
  </si>
  <si>
    <t xml:space="preserve">Nota Atendimento ao Cliente (0-10)</t>
  </si>
  <si>
    <t xml:space="preserve">Nº de Erros em Pedidos</t>
  </si>
  <si>
    <t xml:space="preserve">Nº Total de Pedidos no Mês</t>
  </si>
  <si>
    <t xml:space="preserve">% Vendas c/ Produtos Complementares</t>
  </si>
  <si>
    <t xml:space="preserve">Nota Organização e Processos (0-10)</t>
  </si>
  <si>
    <t xml:space="preserve">Faltas Injustificadas</t>
  </si>
  <si>
    <t xml:space="preserve">Advertências Formais</t>
  </si>
  <si>
    <t xml:space="preserve">Suspensão no Mês (S/N)</t>
  </si>
  <si>
    <t xml:space="preserve">Taxa de Conversão (%)</t>
  </si>
  <si>
    <t xml:space="preserve">Índice de Erros (%)</t>
  </si>
  <si>
    <t xml:space="preserve">Pts Faturamento /20</t>
  </si>
  <si>
    <t xml:space="preserve">Pts Nº Vendas /15</t>
  </si>
  <si>
    <t xml:space="preserve">Pts Conversão /20</t>
  </si>
  <si>
    <t xml:space="preserve">Pts Atendimento /15</t>
  </si>
  <si>
    <t xml:space="preserve">Pts Erros /15</t>
  </si>
  <si>
    <t xml:space="preserve">Pts Complementares /10</t>
  </si>
  <si>
    <t xml:space="preserve">Pts Processos /5</t>
  </si>
  <si>
    <t xml:space="preserve">Nota Bruta (0-100)</t>
  </si>
  <si>
    <t xml:space="preserve">Penalidades</t>
  </si>
  <si>
    <t xml:space="preserve">Nota Final</t>
  </si>
  <si>
    <t xml:space="preserve">Elegível ao Prêmio do Mês</t>
  </si>
  <si>
    <t xml:space="preserve">Ranking</t>
  </si>
  <si>
    <t xml:space="preserve">Nível do Troféu</t>
  </si>
  <si>
    <t xml:space="preserve">Rafael Torres (exemplo)</t>
  </si>
  <si>
    <t xml:space="preserve">N</t>
  </si>
  <si>
    <t xml:space="preserve">João Silva (exemplo)</t>
  </si>
  <si>
    <t xml:space="preserve">Marina Souza (exemplo)</t>
  </si>
  <si>
    <t xml:space="preserve">CARTEL CALHAS — PONTUAÇÃO MENSAL: FABRICADORES</t>
  </si>
  <si>
    <t xml:space="preserve">Meta de Produtividade (peças/mês)</t>
  </si>
  <si>
    <t xml:space="preserve">Meta de Qualidade (% aprovação)</t>
  </si>
  <si>
    <t xml:space="preserve">Desperdício Aceitável (máximo)</t>
  </si>
  <si>
    <t xml:space="preserve">Retrabalho Aceitável (máximo)</t>
  </si>
  <si>
    <t xml:space="preserve">Meta de Cumprimento de Prazos</t>
  </si>
  <si>
    <t xml:space="preserve">Nome do Fabricador</t>
  </si>
  <si>
    <t xml:space="preserve">Peças Produzidas no Mês</t>
  </si>
  <si>
    <t xml:space="preserve">% Peças Aprovadas na Inspeção de Qualidade</t>
  </si>
  <si>
    <t xml:space="preserve">% Desperdício de Material no Mês</t>
  </si>
  <si>
    <t xml:space="preserve">Nº de Peças Refeitas (Retrabalho)</t>
  </si>
  <si>
    <t xml:space="preserve">Nota Organização do Setor / 5S (0-10)</t>
  </si>
  <si>
    <t xml:space="preserve">% Ordens de Produção no Prazo</t>
  </si>
  <si>
    <t xml:space="preserve">Nota Cuidado c/ Ferramentas e Materiais (0-10)</t>
  </si>
  <si>
    <t xml:space="preserve">Nota Colaboração com a Equipe (0-10)</t>
  </si>
  <si>
    <t xml:space="preserve">Índice de Retrabalho (%)</t>
  </si>
  <si>
    <t xml:space="preserve">Pts Produtividade /20</t>
  </si>
  <si>
    <t xml:space="preserve">Pts Qualidade /20</t>
  </si>
  <si>
    <t xml:space="preserve">Pts Desperdício /15</t>
  </si>
  <si>
    <t xml:space="preserve">Pts Retrabalho /15</t>
  </si>
  <si>
    <t xml:space="preserve">Pts Organização /10</t>
  </si>
  <si>
    <t xml:space="preserve">Pts Prazos /10</t>
  </si>
  <si>
    <t xml:space="preserve">Pts Ferramentas /5</t>
  </si>
  <si>
    <t xml:space="preserve">Pts Colaboração /5</t>
  </si>
  <si>
    <t xml:space="preserve">Diego Ramos (exemplo)</t>
  </si>
  <si>
    <t xml:space="preserve">Carlos Mendes (exemplo)</t>
  </si>
  <si>
    <t xml:space="preserve">Everton Lima (exemplo)</t>
  </si>
  <si>
    <t xml:space="preserve">CARTEL CALHAS — PONTUAÇÃO MENSAL: ENTREGADORES</t>
  </si>
  <si>
    <t xml:space="preserve">Meta de Pontualidade nas Entregas</t>
  </si>
  <si>
    <t xml:space="preserve">Avarias Aceitável (máximo)</t>
  </si>
  <si>
    <t xml:space="preserve">Meta de Cumprimento de Rotas</t>
  </si>
  <si>
    <t xml:space="preserve">Ocorrências Aceitável (máximo)</t>
  </si>
  <si>
    <t xml:space="preserve">Nome do Entregador</t>
  </si>
  <si>
    <t xml:space="preserve">Nº de Entregas Realizadas</t>
  </si>
  <si>
    <t xml:space="preserve">Nº de Entregas no Horário Combinado</t>
  </si>
  <si>
    <t xml:space="preserve">Nº de Avarias em Produtos Transportados</t>
  </si>
  <si>
    <t xml:space="preserve">Nota Organização da Carga (0-10)</t>
  </si>
  <si>
    <t xml:space="preserve">Nota Conservação do Veículo (0-10)</t>
  </si>
  <si>
    <t xml:space="preserve">% Rotas Cumpridas Conforme Planejamento</t>
  </si>
  <si>
    <t xml:space="preserve">Nº de Ocorrências/Reclamações</t>
  </si>
  <si>
    <t xml:space="preserve">Nota Responsabilidade e Comprometimento (0-10)</t>
  </si>
  <si>
    <t xml:space="preserve">Índice de Pontualidade (%)</t>
  </si>
  <si>
    <t xml:space="preserve">Índice de Avarias (%)</t>
  </si>
  <si>
    <t xml:space="preserve">Índice de Ocorrências (%)</t>
  </si>
  <si>
    <t xml:space="preserve">Pts Pontualidade /20</t>
  </si>
  <si>
    <t xml:space="preserve">Pts Cuidado Produtos /15</t>
  </si>
  <si>
    <t xml:space="preserve">Pts Organização Carga /10</t>
  </si>
  <si>
    <t xml:space="preserve">Pts Conservação Veículo /10</t>
  </si>
  <si>
    <t xml:space="preserve">Pts Rotas /10</t>
  </si>
  <si>
    <t xml:space="preserve">Pts Ocorrências /15</t>
  </si>
  <si>
    <t xml:space="preserve">Pts Responsabilidade /5</t>
  </si>
  <si>
    <t xml:space="preserve">Bruno Alves (exemplo)</t>
  </si>
  <si>
    <t xml:space="preserve">Marcos Pereira (exemplo)</t>
  </si>
  <si>
    <t xml:space="preserve">Felipe Costa (exemplo)</t>
  </si>
  <si>
    <t xml:space="preserve">CARTEL CALHAS — FUNCIONÁRIO DESTAQUE DO MÊS (todas as áreas)</t>
  </si>
  <si>
    <t xml:space="preserve">Mês de referência: ______ / Notas de 0 a 10 dadas pelo supervisor direto e validadas pelo comitê de premiação.</t>
  </si>
  <si>
    <t xml:space="preserve">Nome do Funcionário</t>
  </si>
  <si>
    <t xml:space="preserve">Cargo / Setor</t>
  </si>
  <si>
    <t xml:space="preserve">Comprometimento (0-10)</t>
  </si>
  <si>
    <t xml:space="preserve">Pontualidade (0-10)</t>
  </si>
  <si>
    <t xml:space="preserve">Responsabilidade (0-10)</t>
  </si>
  <si>
    <t xml:space="preserve">Produtividade (0-10)</t>
  </si>
  <si>
    <t xml:space="preserve">Qualidade (0-10)</t>
  </si>
  <si>
    <t xml:space="preserve">Trabalho em Equipe (0-10)</t>
  </si>
  <si>
    <t xml:space="preserve">Atendimento (0-10)</t>
  </si>
  <si>
    <t xml:space="preserve">Postura Profissional (0-10)</t>
  </si>
  <si>
    <t xml:space="preserve">Contribuição p/ Resultados (0-10)</t>
  </si>
  <si>
    <t xml:space="preserve">Pts Comprometimento /15</t>
  </si>
  <si>
    <t xml:space="preserve">Pts Pontualidade /10</t>
  </si>
  <si>
    <t xml:space="preserve">Pts Responsabilidade /10</t>
  </si>
  <si>
    <t xml:space="preserve">Pts Produtividade /15</t>
  </si>
  <si>
    <t xml:space="preserve">Pts Qualidade /15</t>
  </si>
  <si>
    <t xml:space="preserve">Pts Trabalho em Equipe /10</t>
  </si>
  <si>
    <t xml:space="preserve">Pts Atendimento /10</t>
  </si>
  <si>
    <t xml:space="preserve">Pts Postura /10</t>
  </si>
  <si>
    <t xml:space="preserve">Pts Contribuição /5</t>
  </si>
  <si>
    <t xml:space="preserve">Vendedor</t>
  </si>
  <si>
    <t xml:space="preserve">Fabricador</t>
  </si>
  <si>
    <t xml:space="preserve">Entregador</t>
  </si>
  <si>
    <t xml:space="preserve">CARTEL CALHAS — RANKING MENSAL DE PREMIAÇÃO</t>
  </si>
  <si>
    <t xml:space="preserve">Mês de referência: ______ / A sugestão é automática (maior nota entre os elegíveis); o comitê confirma o vencedor oficial.</t>
  </si>
  <si>
    <t xml:space="preserve">Categoria</t>
  </si>
  <si>
    <t xml:space="preserve">Sugestão Automática (maior nota elegível)</t>
  </si>
  <si>
    <t xml:space="preserve">Nota Final (sugestão)</t>
  </si>
  <si>
    <t xml:space="preserve">Nível do Troféu (sugestão)</t>
  </si>
  <si>
    <t xml:space="preserve">Vencedor(a) Confirmado(a) pelo Comitê</t>
  </si>
  <si>
    <t xml:space="preserve">Valor do Prêmio (R$)</t>
  </si>
  <si>
    <t xml:space="preserve">Observações</t>
  </si>
  <si>
    <t xml:space="preserve">Vendedor Destaque do Mês</t>
  </si>
  <si>
    <t xml:space="preserve">Bateu 100% das metas e teve 0 erros no mês.</t>
  </si>
  <si>
    <t xml:space="preserve">Fabricador Destaque do Mês</t>
  </si>
  <si>
    <t xml:space="preserve">Maior produtividade com menor retrabalho da equipe.</t>
  </si>
  <si>
    <t xml:space="preserve">Entregador Destaque do Mês</t>
  </si>
  <si>
    <t xml:space="preserve">100% de pontualidade e 0 avarias no mês.</t>
  </si>
  <si>
    <t xml:space="preserve">Funcionário Destaque do Mês (Geral)</t>
  </si>
  <si>
    <t xml:space="preserve">Também venceu a categoria Vendedor — destaque geral do mês.</t>
  </si>
  <si>
    <t xml:space="preserve">CARTEL CALHAS — HISTÓRICO TRIMESTRAL E ANUAL</t>
  </si>
  <si>
    <t xml:space="preserve">Copie a Nota Final de cada aba mensal para o mês correspondente. As médias e o Troféu Cartel Calhas calculam automaticamente.</t>
  </si>
  <si>
    <t xml:space="preserve">Nota Jan</t>
  </si>
  <si>
    <t xml:space="preserve">Nota Fev</t>
  </si>
  <si>
    <t xml:space="preserve">Nota Mar</t>
  </si>
  <si>
    <t xml:space="preserve">Nota Abr</t>
  </si>
  <si>
    <t xml:space="preserve">Nota Mai</t>
  </si>
  <si>
    <t xml:space="preserve">Nota Jun</t>
  </si>
  <si>
    <t xml:space="preserve">Nota Jul</t>
  </si>
  <si>
    <t xml:space="preserve">Nota Ago</t>
  </si>
  <si>
    <t xml:space="preserve">Nota Set</t>
  </si>
  <si>
    <t xml:space="preserve">Nota Out</t>
  </si>
  <si>
    <t xml:space="preserve">Nota Nov</t>
  </si>
  <si>
    <t xml:space="preserve">Nota Dez</t>
  </si>
  <si>
    <t xml:space="preserve">Média Tri 1 (Jan-Mar)</t>
  </si>
  <si>
    <t xml:space="preserve">Troféu Tri 1</t>
  </si>
  <si>
    <t xml:space="preserve">Média Tri 2 (Abr-Jun)</t>
  </si>
  <si>
    <t xml:space="preserve">Troféu Tri 2</t>
  </si>
  <si>
    <t xml:space="preserve">Média Tri 3 (Jul-Set)</t>
  </si>
  <si>
    <t xml:space="preserve">Troféu Tri 3</t>
  </si>
  <si>
    <t xml:space="preserve">Média Tri 4 (Out-Dez)</t>
  </si>
  <si>
    <t xml:space="preserve">Troféu Tri 4</t>
  </si>
  <si>
    <t xml:space="preserve">Média Anual</t>
  </si>
  <si>
    <t xml:space="preserve">Troféu Anual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</si>
</sst>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73"/>
      <name val="Arial"/>
      <family val="0"/>
      <charset val="1"/>
    </font>
    <font>
      <b val="true"/>
      <sz val="12"/>
      <color rgb="FF2B6CB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5C73"/>
        <bgColor rgb="FF2B6CB0"/>
      </patternFill>
    </fill>
    <fill>
      <patternFill patternType="solid">
        <fgColor rgb="FF2B6CB0"/>
        <bgColor rgb="FF1F5C73"/>
      </patternFill>
    </fill>
    <fill>
      <patternFill patternType="solid">
        <fgColor rgb="FF8C5A2B"/>
        <bgColor rgb="FF993300"/>
      </patternFill>
    </fill>
    <fill>
      <patternFill patternType="solid">
        <fgColor rgb="FFFFFDE0"/>
        <bgColor rgb="FFFFFFFF"/>
      </patternFill>
    </fill>
    <fill>
      <patternFill patternType="solid">
        <fgColor rgb="FFD9E6EC"/>
        <bgColor rgb="FFEAF1FB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5A2B"/>
      <rgbColor rgb="FF800080"/>
      <rgbColor rgb="FF1F5C73"/>
      <rgbColor rgb="FFBFBFBF"/>
      <rgbColor rgb="FF808080"/>
      <rgbColor rgb="FF9999FF"/>
      <rgbColor rgb="FF993366"/>
      <rgbColor rgb="FFFFFDE0"/>
      <rgbColor rgb="FFEAF1FB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EC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</row>
    <row r="4" customFormat="false" ht="4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8" hidden="false" customHeight="true" outlineLevel="0" collapsed="false">
      <c r="A6" s="2" t="s">
        <v>3</v>
      </c>
    </row>
    <row r="7" customFormat="false" ht="30" hidden="false" customHeight="true" outlineLevel="0" collapsed="false">
      <c r="A7" s="3" t="s">
        <v>4</v>
      </c>
    </row>
    <row r="8" customFormat="false" ht="15" hidden="false" customHeight="true" outlineLevel="0" collapsed="false">
      <c r="A8" s="3"/>
    </row>
    <row r="9" customFormat="false" ht="18" hidden="false" customHeight="true" outlineLevel="0" collapsed="false">
      <c r="A9" s="2" t="s">
        <v>5</v>
      </c>
    </row>
    <row r="10" customFormat="false" ht="180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/>
    </row>
    <row r="12" customFormat="false" ht="18" hidden="false" customHeight="true" outlineLevel="0" collapsed="false">
      <c r="A12" s="2" t="s">
        <v>7</v>
      </c>
    </row>
    <row r="13" customFormat="false" ht="19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/>
    </row>
    <row r="15" customFormat="false" ht="18" hidden="false" customHeight="true" outlineLevel="0" collapsed="false">
      <c r="A15" s="2" t="s">
        <v>9</v>
      </c>
    </row>
    <row r="16" customFormat="false" ht="45" hidden="false" customHeight="true" outlineLevel="0" collapsed="false">
      <c r="A16" s="3" t="s">
        <v>10</v>
      </c>
    </row>
    <row r="17" customFormat="false" ht="15" hidden="false" customHeight="true" outlineLevel="0" collapsed="false">
      <c r="A17" s="3"/>
    </row>
    <row r="18" customFormat="false" ht="18" hidden="false" customHeight="true" outlineLevel="0" collapsed="false">
      <c r="A18" s="2" t="s">
        <v>11</v>
      </c>
    </row>
    <row r="19" customFormat="false" ht="45" hidden="false" customHeight="true" outlineLevel="0" collapsed="false">
      <c r="A19" s="3" t="s">
        <v>12</v>
      </c>
    </row>
    <row r="20" customFormat="false" ht="15" hidden="false" customHeight="true" outlineLevel="0" collapsed="false">
      <c r="A20" s="3"/>
    </row>
    <row r="21" customFormat="false" ht="45" hidden="false" customHeight="true" outlineLevel="0" collapsed="false">
      <c r="A21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6" min="3" style="0" width="11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3" min="11" style="0" width="9"/>
    <col collapsed="false" customWidth="true" hidden="false" outlineLevel="0" max="15" min="14" style="0" width="10"/>
    <col collapsed="false" customWidth="true" hidden="false" outlineLevel="0" max="22" min="16" style="0" width="9"/>
    <col collapsed="false" customWidth="true" hidden="false" outlineLevel="0" max="23" min="23" style="0" width="10"/>
    <col collapsed="false" customWidth="true" hidden="false" outlineLevel="0" max="25" min="24" style="0" width="9"/>
    <col collapsed="false" customWidth="true" hidden="false" outlineLevel="0" max="26" min="26" style="0" width="12"/>
    <col collapsed="false" customWidth="true" hidden="false" outlineLevel="0" max="27" min="27" style="0" width="8"/>
    <col collapsed="false" customWidth="true" hidden="false" outlineLevel="0" max="28" min="28" style="0" width="11"/>
  </cols>
  <sheetData>
    <row r="1" customFormat="false" ht="25.5" hidden="false" customHeight="true" outlineLevel="0" collapsed="false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9.5" hidden="false" customHeight="true" outlineLevel="0" collapsed="false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8" hidden="false" customHeight="true" outlineLevel="0" collapsed="false">
      <c r="A4" s="6" t="s">
        <v>16</v>
      </c>
      <c r="B4" s="6"/>
      <c r="C4" s="6"/>
    </row>
    <row r="5" customFormat="false" ht="15" hidden="false" customHeight="false" outlineLevel="0" collapsed="false">
      <c r="A5" s="7" t="s">
        <v>17</v>
      </c>
      <c r="B5" s="8" t="n">
        <v>50000</v>
      </c>
    </row>
    <row r="6" customFormat="false" ht="15" hidden="false" customHeight="false" outlineLevel="0" collapsed="false">
      <c r="A6" s="7" t="s">
        <v>18</v>
      </c>
      <c r="B6" s="9" t="n">
        <v>40</v>
      </c>
    </row>
    <row r="7" customFormat="false" ht="23.85" hidden="false" customHeight="false" outlineLevel="0" collapsed="false">
      <c r="A7" s="7" t="s">
        <v>19</v>
      </c>
      <c r="B7" s="10" t="n">
        <v>0.45</v>
      </c>
    </row>
    <row r="8" customFormat="false" ht="23.85" hidden="false" customHeight="false" outlineLevel="0" collapsed="false">
      <c r="A8" s="7" t="s">
        <v>20</v>
      </c>
      <c r="B8" s="10" t="n">
        <v>0.05</v>
      </c>
    </row>
    <row r="9" customFormat="false" ht="23.85" hidden="false" customHeight="false" outlineLevel="0" collapsed="false">
      <c r="A9" s="7" t="s">
        <v>21</v>
      </c>
      <c r="B9" s="10" t="n">
        <v>0.35</v>
      </c>
    </row>
    <row r="11" customFormat="false" ht="39.75" hidden="false" customHeight="true" outlineLevel="0" collapsed="false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11" t="s">
        <v>33</v>
      </c>
      <c r="M11" s="11" t="s">
        <v>34</v>
      </c>
      <c r="N11" s="11" t="s">
        <v>35</v>
      </c>
      <c r="O11" s="11" t="s">
        <v>36</v>
      </c>
      <c r="P11" s="11" t="s">
        <v>37</v>
      </c>
      <c r="Q11" s="11" t="s">
        <v>38</v>
      </c>
      <c r="R11" s="11" t="s">
        <v>39</v>
      </c>
      <c r="S11" s="11" t="s">
        <v>40</v>
      </c>
      <c r="T11" s="11" t="s">
        <v>41</v>
      </c>
      <c r="U11" s="11" t="s">
        <v>42</v>
      </c>
      <c r="V11" s="11" t="s">
        <v>43</v>
      </c>
      <c r="W11" s="11" t="s">
        <v>44</v>
      </c>
      <c r="X11" s="11" t="s">
        <v>45</v>
      </c>
      <c r="Y11" s="11" t="s">
        <v>46</v>
      </c>
      <c r="Z11" s="11" t="s">
        <v>47</v>
      </c>
      <c r="AA11" s="11" t="s">
        <v>48</v>
      </c>
      <c r="AB11" s="11" t="s">
        <v>49</v>
      </c>
    </row>
    <row r="12" customFormat="false" ht="15" hidden="false" customHeight="false" outlineLevel="0" collapsed="false">
      <c r="A12" s="12" t="s">
        <v>50</v>
      </c>
      <c r="B12" s="13" t="n">
        <v>52000</v>
      </c>
      <c r="C12" s="14" t="n">
        <v>42</v>
      </c>
      <c r="D12" s="14" t="n">
        <v>85</v>
      </c>
      <c r="E12" s="14" t="n">
        <v>42</v>
      </c>
      <c r="F12" s="14" t="n">
        <v>10</v>
      </c>
      <c r="G12" s="14" t="n">
        <v>0</v>
      </c>
      <c r="H12" s="14" t="n">
        <v>42</v>
      </c>
      <c r="I12" s="15" t="n">
        <v>0.4</v>
      </c>
      <c r="J12" s="14" t="n">
        <v>10</v>
      </c>
      <c r="K12" s="14" t="n">
        <v>0</v>
      </c>
      <c r="L12" s="14" t="n">
        <v>0</v>
      </c>
      <c r="M12" s="14" t="s">
        <v>51</v>
      </c>
      <c r="N12" s="16" t="n">
        <f aca="false">IF(D12=0,0,E12/D12)</f>
        <v>0.494117647058824</v>
      </c>
      <c r="O12" s="16" t="n">
        <f aca="false">IF(H12=0,0,G12/H12)</f>
        <v>0</v>
      </c>
      <c r="P12" s="17" t="n">
        <f aca="false">MIN(20,(B12/$B$5)*20)</f>
        <v>20</v>
      </c>
      <c r="Q12" s="17" t="n">
        <f aca="false">MIN(15,(C12/$B$6)*15)</f>
        <v>15</v>
      </c>
      <c r="R12" s="17" t="n">
        <f aca="false">MIN(20,(N12/$B$7)*20)</f>
        <v>20</v>
      </c>
      <c r="S12" s="17" t="n">
        <f aca="false">(F12/10)*15</f>
        <v>15</v>
      </c>
      <c r="T12" s="17" t="n">
        <f aca="false">MAX(0,15-(O12/$B$8)*15)</f>
        <v>15</v>
      </c>
      <c r="U12" s="17" t="n">
        <f aca="false">MIN(10,(I12/$B$9)*10)</f>
        <v>10</v>
      </c>
      <c r="V12" s="17" t="n">
        <f aca="false">(J12/10)*5</f>
        <v>5</v>
      </c>
      <c r="W12" s="17" t="n">
        <f aca="false">SUM(P12:V12)</f>
        <v>100</v>
      </c>
      <c r="X12" s="17" t="n">
        <f aca="false">K12*10+L12*15+IF(M12="S",30,0)</f>
        <v>0</v>
      </c>
      <c r="Y12" s="17" t="n">
        <f aca="false">MAX(0,W12-X12)</f>
        <v>100</v>
      </c>
      <c r="Z12" s="18" t="str">
        <f aca="false">IF(OR(K12&gt;0,M12="S"),"NAO",IF(Y12&lt;60,"NAO (abaixo do minimo)","SIM"))</f>
        <v>SIM</v>
      </c>
      <c r="AA12" s="18" t="n">
        <f aca="false">RANK(Y12,$Y$12:$Y$21)</f>
        <v>1</v>
      </c>
      <c r="AB12" s="18" t="str">
        <f aca="false">IF(Y12&gt;=90,"OURO",IF(Y12&gt;=80,"PRATA",IF(Y12&gt;=70,"BRONZE","-")))</f>
        <v>OURO</v>
      </c>
    </row>
    <row r="13" customFormat="false" ht="15" hidden="false" customHeight="false" outlineLevel="0" collapsed="false">
      <c r="A13" s="12" t="s">
        <v>52</v>
      </c>
      <c r="B13" s="13" t="n">
        <v>45000</v>
      </c>
      <c r="C13" s="14" t="n">
        <v>38</v>
      </c>
      <c r="D13" s="14" t="n">
        <v>90</v>
      </c>
      <c r="E13" s="14" t="n">
        <v>38</v>
      </c>
      <c r="F13" s="14" t="n">
        <v>9</v>
      </c>
      <c r="G13" s="14" t="n">
        <v>1</v>
      </c>
      <c r="H13" s="14" t="n">
        <v>38</v>
      </c>
      <c r="I13" s="15" t="n">
        <v>0.3</v>
      </c>
      <c r="J13" s="14" t="n">
        <v>9</v>
      </c>
      <c r="K13" s="14" t="n">
        <v>0</v>
      </c>
      <c r="L13" s="14" t="n">
        <v>0</v>
      </c>
      <c r="M13" s="14" t="s">
        <v>51</v>
      </c>
      <c r="N13" s="16" t="n">
        <f aca="false">IF(D13=0,0,E13/D13)</f>
        <v>0.422222222222222</v>
      </c>
      <c r="O13" s="16" t="n">
        <f aca="false">IF(H13=0,0,G13/H13)</f>
        <v>0.0263157894736842</v>
      </c>
      <c r="P13" s="17" t="n">
        <f aca="false">MIN(20,(B13/$B$5)*20)</f>
        <v>18</v>
      </c>
      <c r="Q13" s="17" t="n">
        <f aca="false">MIN(15,(C13/$B$6)*15)</f>
        <v>14.25</v>
      </c>
      <c r="R13" s="17" t="n">
        <f aca="false">MIN(20,(N13/$B$7)*20)</f>
        <v>18.7654320987654</v>
      </c>
      <c r="S13" s="17" t="n">
        <f aca="false">(F13/10)*15</f>
        <v>13.5</v>
      </c>
      <c r="T13" s="17" t="n">
        <f aca="false">MAX(0,15-(O13/$B$8)*15)</f>
        <v>7.10526315789474</v>
      </c>
      <c r="U13" s="17" t="n">
        <f aca="false">MIN(10,(I13/$B$9)*10)</f>
        <v>8.57142857142857</v>
      </c>
      <c r="V13" s="17" t="n">
        <f aca="false">(J13/10)*5</f>
        <v>4.5</v>
      </c>
      <c r="W13" s="17" t="n">
        <f aca="false">SUM(P13:V13)</f>
        <v>84.6921238280887</v>
      </c>
      <c r="X13" s="17" t="n">
        <f aca="false">K13*10+L13*15+IF(M13="S",30,0)</f>
        <v>0</v>
      </c>
      <c r="Y13" s="17" t="n">
        <f aca="false">MAX(0,W13-X13)</f>
        <v>84.6921238280887</v>
      </c>
      <c r="Z13" s="18" t="str">
        <f aca="false">IF(OR(K13&gt;0,M13="S"),"NAO",IF(Y13&lt;60,"NAO (abaixo do minimo)","SIM"))</f>
        <v>SIM</v>
      </c>
      <c r="AA13" s="18" t="n">
        <f aca="false">RANK(Y13,$Y$12:$Y$21)</f>
        <v>2</v>
      </c>
      <c r="AB13" s="18" t="str">
        <f aca="false">IF(Y13&gt;=90,"OURO",IF(Y13&gt;=80,"PRATA",IF(Y13&gt;=70,"BRONZE","-")))</f>
        <v>PRATA</v>
      </c>
    </row>
    <row r="14" customFormat="false" ht="15" hidden="false" customHeight="false" outlineLevel="0" collapsed="false">
      <c r="A14" s="12" t="s">
        <v>53</v>
      </c>
      <c r="B14" s="13" t="n">
        <v>38000</v>
      </c>
      <c r="C14" s="14" t="n">
        <v>30</v>
      </c>
      <c r="D14" s="14" t="n">
        <v>70</v>
      </c>
      <c r="E14" s="14" t="n">
        <v>30</v>
      </c>
      <c r="F14" s="14" t="n">
        <v>8</v>
      </c>
      <c r="G14" s="14" t="n">
        <v>3</v>
      </c>
      <c r="H14" s="14" t="n">
        <v>30</v>
      </c>
      <c r="I14" s="15" t="n">
        <v>0.2</v>
      </c>
      <c r="J14" s="14" t="n">
        <v>7</v>
      </c>
      <c r="K14" s="14" t="n">
        <v>0</v>
      </c>
      <c r="L14" s="14" t="n">
        <v>0</v>
      </c>
      <c r="M14" s="14" t="s">
        <v>51</v>
      </c>
      <c r="N14" s="16" t="n">
        <f aca="false">IF(D14=0,0,E14/D14)</f>
        <v>0.428571428571429</v>
      </c>
      <c r="O14" s="16" t="n">
        <f aca="false">IF(H14=0,0,G14/H14)</f>
        <v>0.1</v>
      </c>
      <c r="P14" s="17" t="n">
        <f aca="false">MIN(20,(B14/$B$5)*20)</f>
        <v>15.2</v>
      </c>
      <c r="Q14" s="17" t="n">
        <f aca="false">MIN(15,(C14/$B$6)*15)</f>
        <v>11.25</v>
      </c>
      <c r="R14" s="17" t="n">
        <f aca="false">MIN(20,(N14/$B$7)*20)</f>
        <v>19.047619047619</v>
      </c>
      <c r="S14" s="17" t="n">
        <f aca="false">(F14/10)*15</f>
        <v>12</v>
      </c>
      <c r="T14" s="17" t="n">
        <f aca="false">MAX(0,15-(O14/$B$8)*15)</f>
        <v>0</v>
      </c>
      <c r="U14" s="17" t="n">
        <f aca="false">MIN(10,(I14/$B$9)*10)</f>
        <v>5.71428571428572</v>
      </c>
      <c r="V14" s="17" t="n">
        <f aca="false">(J14/10)*5</f>
        <v>3.5</v>
      </c>
      <c r="W14" s="17" t="n">
        <f aca="false">SUM(P14:V14)</f>
        <v>66.7119047619048</v>
      </c>
      <c r="X14" s="17" t="n">
        <f aca="false">K14*10+L14*15+IF(M14="S",30,0)</f>
        <v>0</v>
      </c>
      <c r="Y14" s="17" t="n">
        <f aca="false">MAX(0,W14-X14)</f>
        <v>66.7119047619048</v>
      </c>
      <c r="Z14" s="18" t="str">
        <f aca="false">IF(OR(K14&gt;0,M14="S"),"NAO",IF(Y14&lt;60,"NAO (abaixo do minimo)","SIM"))</f>
        <v>SIM</v>
      </c>
      <c r="AA14" s="18" t="n">
        <f aca="false">RANK(Y14,$Y$12:$Y$21)</f>
        <v>3</v>
      </c>
      <c r="AB14" s="18" t="str">
        <f aca="false">IF(Y14&gt;=90,"OURO",IF(Y14&gt;=80,"PRATA",IF(Y14&gt;=70,"BRONZE","-")))</f>
        <v>-</v>
      </c>
    </row>
    <row r="15" customFormat="false" ht="23.85" hidden="false" customHeight="false" outlineLevel="0" collapsed="false">
      <c r="A15" s="19"/>
      <c r="B15" s="20"/>
      <c r="C15" s="21"/>
      <c r="D15" s="21"/>
      <c r="E15" s="21"/>
      <c r="F15" s="21"/>
      <c r="G15" s="21"/>
      <c r="H15" s="21"/>
      <c r="I15" s="22"/>
      <c r="J15" s="21"/>
      <c r="K15" s="21"/>
      <c r="L15" s="21"/>
      <c r="M15" s="21"/>
      <c r="N15" s="23" t="n">
        <f aca="false">IF(D15=0,0,E15/D15)</f>
        <v>0</v>
      </c>
      <c r="O15" s="23" t="n">
        <f aca="false">IF(H15=0,0,G15/H15)</f>
        <v>0</v>
      </c>
      <c r="P15" s="24" t="n">
        <f aca="false">MIN(20,(B15/$B$5)*20)</f>
        <v>0</v>
      </c>
      <c r="Q15" s="24" t="n">
        <f aca="false">MIN(15,(C15/$B$6)*15)</f>
        <v>0</v>
      </c>
      <c r="R15" s="24" t="n">
        <f aca="false">MIN(20,(N15/$B$7)*20)</f>
        <v>0</v>
      </c>
      <c r="S15" s="24" t="n">
        <f aca="false">(F15/10)*15</f>
        <v>0</v>
      </c>
      <c r="T15" s="24" t="n">
        <f aca="false">MAX(0,15-(O15/$B$8)*15)</f>
        <v>15</v>
      </c>
      <c r="U15" s="24" t="n">
        <f aca="false">MIN(10,(I15/$B$9)*10)</f>
        <v>0</v>
      </c>
      <c r="V15" s="24" t="n">
        <f aca="false">(J15/10)*5</f>
        <v>0</v>
      </c>
      <c r="W15" s="24" t="n">
        <f aca="false">SUM(P15:V15)</f>
        <v>15</v>
      </c>
      <c r="X15" s="24" t="n">
        <f aca="false">K15*10+L15*15+IF(M15="S",30,0)</f>
        <v>0</v>
      </c>
      <c r="Y15" s="24" t="n">
        <f aca="false">MAX(0,W15-X15)</f>
        <v>15</v>
      </c>
      <c r="Z15" s="25" t="str">
        <f aca="false">IF(OR(K15&gt;0,M15="S"),"NAO",IF(Y15&lt;60,"NAO (abaixo do minimo)","SIM"))</f>
        <v>NAO (abaixo do minimo)</v>
      </c>
      <c r="AA15" s="25" t="n">
        <f aca="false">RANK(Y15,$Y$12:$Y$21)</f>
        <v>4</v>
      </c>
      <c r="AB15" s="25" t="str">
        <f aca="false">IF(Y15&gt;=90,"OURO",IF(Y15&gt;=80,"PRATA",IF(Y15&gt;=70,"BRONZE","-")))</f>
        <v>-</v>
      </c>
    </row>
    <row r="16" customFormat="false" ht="23.85" hidden="false" customHeight="false" outlineLevel="0" collapsed="false">
      <c r="A16" s="19"/>
      <c r="B16" s="20"/>
      <c r="C16" s="21"/>
      <c r="D16" s="21"/>
      <c r="E16" s="21"/>
      <c r="F16" s="21"/>
      <c r="G16" s="21"/>
      <c r="H16" s="21"/>
      <c r="I16" s="22"/>
      <c r="J16" s="21"/>
      <c r="K16" s="21"/>
      <c r="L16" s="21"/>
      <c r="M16" s="21"/>
      <c r="N16" s="23" t="n">
        <f aca="false">IF(D16=0,0,E16/D16)</f>
        <v>0</v>
      </c>
      <c r="O16" s="23" t="n">
        <f aca="false">IF(H16=0,0,G16/H16)</f>
        <v>0</v>
      </c>
      <c r="P16" s="24" t="n">
        <f aca="false">MIN(20,(B16/$B$5)*20)</f>
        <v>0</v>
      </c>
      <c r="Q16" s="24" t="n">
        <f aca="false">MIN(15,(C16/$B$6)*15)</f>
        <v>0</v>
      </c>
      <c r="R16" s="24" t="n">
        <f aca="false">MIN(20,(N16/$B$7)*20)</f>
        <v>0</v>
      </c>
      <c r="S16" s="24" t="n">
        <f aca="false">(F16/10)*15</f>
        <v>0</v>
      </c>
      <c r="T16" s="24" t="n">
        <f aca="false">MAX(0,15-(O16/$B$8)*15)</f>
        <v>15</v>
      </c>
      <c r="U16" s="24" t="n">
        <f aca="false">MIN(10,(I16/$B$9)*10)</f>
        <v>0</v>
      </c>
      <c r="V16" s="24" t="n">
        <f aca="false">(J16/10)*5</f>
        <v>0</v>
      </c>
      <c r="W16" s="24" t="n">
        <f aca="false">SUM(P16:V16)</f>
        <v>15</v>
      </c>
      <c r="X16" s="24" t="n">
        <f aca="false">K16*10+L16*15+IF(M16="S",30,0)</f>
        <v>0</v>
      </c>
      <c r="Y16" s="24" t="n">
        <f aca="false">MAX(0,W16-X16)</f>
        <v>15</v>
      </c>
      <c r="Z16" s="25" t="str">
        <f aca="false">IF(OR(K16&gt;0,M16="S"),"NAO",IF(Y16&lt;60,"NAO (abaixo do minimo)","SIM"))</f>
        <v>NAO (abaixo do minimo)</v>
      </c>
      <c r="AA16" s="25" t="n">
        <f aca="false">RANK(Y16,$Y$12:$Y$21)</f>
        <v>4</v>
      </c>
      <c r="AB16" s="25" t="str">
        <f aca="false">IF(Y16&gt;=90,"OURO",IF(Y16&gt;=80,"PRATA",IF(Y16&gt;=70,"BRONZE","-")))</f>
        <v>-</v>
      </c>
    </row>
    <row r="17" customFormat="false" ht="23.85" hidden="false" customHeight="false" outlineLevel="0" collapsed="false">
      <c r="A17" s="19"/>
      <c r="B17" s="20"/>
      <c r="C17" s="21"/>
      <c r="D17" s="21"/>
      <c r="E17" s="21"/>
      <c r="F17" s="21"/>
      <c r="G17" s="21"/>
      <c r="H17" s="21"/>
      <c r="I17" s="22"/>
      <c r="J17" s="21"/>
      <c r="K17" s="21"/>
      <c r="L17" s="21"/>
      <c r="M17" s="21"/>
      <c r="N17" s="23" t="n">
        <f aca="false">IF(D17=0,0,E17/D17)</f>
        <v>0</v>
      </c>
      <c r="O17" s="23" t="n">
        <f aca="false">IF(H17=0,0,G17/H17)</f>
        <v>0</v>
      </c>
      <c r="P17" s="24" t="n">
        <f aca="false">MIN(20,(B17/$B$5)*20)</f>
        <v>0</v>
      </c>
      <c r="Q17" s="24" t="n">
        <f aca="false">MIN(15,(C17/$B$6)*15)</f>
        <v>0</v>
      </c>
      <c r="R17" s="24" t="n">
        <f aca="false">MIN(20,(N17/$B$7)*20)</f>
        <v>0</v>
      </c>
      <c r="S17" s="24" t="n">
        <f aca="false">(F17/10)*15</f>
        <v>0</v>
      </c>
      <c r="T17" s="24" t="n">
        <f aca="false">MAX(0,15-(O17/$B$8)*15)</f>
        <v>15</v>
      </c>
      <c r="U17" s="24" t="n">
        <f aca="false">MIN(10,(I17/$B$9)*10)</f>
        <v>0</v>
      </c>
      <c r="V17" s="24" t="n">
        <f aca="false">(J17/10)*5</f>
        <v>0</v>
      </c>
      <c r="W17" s="24" t="n">
        <f aca="false">SUM(P17:V17)</f>
        <v>15</v>
      </c>
      <c r="X17" s="24" t="n">
        <f aca="false">K17*10+L17*15+IF(M17="S",30,0)</f>
        <v>0</v>
      </c>
      <c r="Y17" s="24" t="n">
        <f aca="false">MAX(0,W17-X17)</f>
        <v>15</v>
      </c>
      <c r="Z17" s="25" t="str">
        <f aca="false">IF(OR(K17&gt;0,M17="S"),"NAO",IF(Y17&lt;60,"NAO (abaixo do minimo)","SIM"))</f>
        <v>NAO (abaixo do minimo)</v>
      </c>
      <c r="AA17" s="25" t="n">
        <f aca="false">RANK(Y17,$Y$12:$Y$21)</f>
        <v>4</v>
      </c>
      <c r="AB17" s="25" t="str">
        <f aca="false">IF(Y17&gt;=90,"OURO",IF(Y17&gt;=80,"PRATA",IF(Y17&gt;=70,"BRONZE","-")))</f>
        <v>-</v>
      </c>
    </row>
    <row r="18" customFormat="false" ht="23.85" hidden="false" customHeight="false" outlineLevel="0" collapsed="false">
      <c r="A18" s="19"/>
      <c r="B18" s="20"/>
      <c r="C18" s="21"/>
      <c r="D18" s="21"/>
      <c r="E18" s="21"/>
      <c r="F18" s="21"/>
      <c r="G18" s="21"/>
      <c r="H18" s="21"/>
      <c r="I18" s="22"/>
      <c r="J18" s="21"/>
      <c r="K18" s="21"/>
      <c r="L18" s="21"/>
      <c r="M18" s="21"/>
      <c r="N18" s="23" t="n">
        <f aca="false">IF(D18=0,0,E18/D18)</f>
        <v>0</v>
      </c>
      <c r="O18" s="23" t="n">
        <f aca="false">IF(H18=0,0,G18/H18)</f>
        <v>0</v>
      </c>
      <c r="P18" s="24" t="n">
        <f aca="false">MIN(20,(B18/$B$5)*20)</f>
        <v>0</v>
      </c>
      <c r="Q18" s="24" t="n">
        <f aca="false">MIN(15,(C18/$B$6)*15)</f>
        <v>0</v>
      </c>
      <c r="R18" s="24" t="n">
        <f aca="false">MIN(20,(N18/$B$7)*20)</f>
        <v>0</v>
      </c>
      <c r="S18" s="24" t="n">
        <f aca="false">(F18/10)*15</f>
        <v>0</v>
      </c>
      <c r="T18" s="24" t="n">
        <f aca="false">MAX(0,15-(O18/$B$8)*15)</f>
        <v>15</v>
      </c>
      <c r="U18" s="24" t="n">
        <f aca="false">MIN(10,(I18/$B$9)*10)</f>
        <v>0</v>
      </c>
      <c r="V18" s="24" t="n">
        <f aca="false">(J18/10)*5</f>
        <v>0</v>
      </c>
      <c r="W18" s="24" t="n">
        <f aca="false">SUM(P18:V18)</f>
        <v>15</v>
      </c>
      <c r="X18" s="24" t="n">
        <f aca="false">K18*10+L18*15+IF(M18="S",30,0)</f>
        <v>0</v>
      </c>
      <c r="Y18" s="24" t="n">
        <f aca="false">MAX(0,W18-X18)</f>
        <v>15</v>
      </c>
      <c r="Z18" s="25" t="str">
        <f aca="false">IF(OR(K18&gt;0,M18="S"),"NAO",IF(Y18&lt;60,"NAO (abaixo do minimo)","SIM"))</f>
        <v>NAO (abaixo do minimo)</v>
      </c>
      <c r="AA18" s="25" t="n">
        <f aca="false">RANK(Y18,$Y$12:$Y$21)</f>
        <v>4</v>
      </c>
      <c r="AB18" s="25" t="str">
        <f aca="false">IF(Y18&gt;=90,"OURO",IF(Y18&gt;=80,"PRATA",IF(Y18&gt;=70,"BRONZE","-")))</f>
        <v>-</v>
      </c>
    </row>
    <row r="19" customFormat="false" ht="23.85" hidden="false" customHeight="false" outlineLevel="0" collapsed="false">
      <c r="A19" s="19"/>
      <c r="B19" s="20"/>
      <c r="C19" s="21"/>
      <c r="D19" s="21"/>
      <c r="E19" s="21"/>
      <c r="F19" s="21"/>
      <c r="G19" s="21"/>
      <c r="H19" s="21"/>
      <c r="I19" s="22"/>
      <c r="J19" s="21"/>
      <c r="K19" s="21"/>
      <c r="L19" s="21"/>
      <c r="M19" s="21"/>
      <c r="N19" s="23" t="n">
        <f aca="false">IF(D19=0,0,E19/D19)</f>
        <v>0</v>
      </c>
      <c r="O19" s="23" t="n">
        <f aca="false">IF(H19=0,0,G19/H19)</f>
        <v>0</v>
      </c>
      <c r="P19" s="24" t="n">
        <f aca="false">MIN(20,(B19/$B$5)*20)</f>
        <v>0</v>
      </c>
      <c r="Q19" s="24" t="n">
        <f aca="false">MIN(15,(C19/$B$6)*15)</f>
        <v>0</v>
      </c>
      <c r="R19" s="24" t="n">
        <f aca="false">MIN(20,(N19/$B$7)*20)</f>
        <v>0</v>
      </c>
      <c r="S19" s="24" t="n">
        <f aca="false">(F19/10)*15</f>
        <v>0</v>
      </c>
      <c r="T19" s="24" t="n">
        <f aca="false">MAX(0,15-(O19/$B$8)*15)</f>
        <v>15</v>
      </c>
      <c r="U19" s="24" t="n">
        <f aca="false">MIN(10,(I19/$B$9)*10)</f>
        <v>0</v>
      </c>
      <c r="V19" s="24" t="n">
        <f aca="false">(J19/10)*5</f>
        <v>0</v>
      </c>
      <c r="W19" s="24" t="n">
        <f aca="false">SUM(P19:V19)</f>
        <v>15</v>
      </c>
      <c r="X19" s="24" t="n">
        <f aca="false">K19*10+L19*15+IF(M19="S",30,0)</f>
        <v>0</v>
      </c>
      <c r="Y19" s="24" t="n">
        <f aca="false">MAX(0,W19-X19)</f>
        <v>15</v>
      </c>
      <c r="Z19" s="25" t="str">
        <f aca="false">IF(OR(K19&gt;0,M19="S"),"NAO",IF(Y19&lt;60,"NAO (abaixo do minimo)","SIM"))</f>
        <v>NAO (abaixo do minimo)</v>
      </c>
      <c r="AA19" s="25" t="n">
        <f aca="false">RANK(Y19,$Y$12:$Y$21)</f>
        <v>4</v>
      </c>
      <c r="AB19" s="25" t="str">
        <f aca="false">IF(Y19&gt;=90,"OURO",IF(Y19&gt;=80,"PRATA",IF(Y19&gt;=70,"BRONZE","-")))</f>
        <v>-</v>
      </c>
    </row>
    <row r="20" customFormat="false" ht="23.85" hidden="false" customHeight="false" outlineLevel="0" collapsed="false">
      <c r="A20" s="19"/>
      <c r="B20" s="20"/>
      <c r="C20" s="21"/>
      <c r="D20" s="21"/>
      <c r="E20" s="21"/>
      <c r="F20" s="21"/>
      <c r="G20" s="21"/>
      <c r="H20" s="21"/>
      <c r="I20" s="22"/>
      <c r="J20" s="21"/>
      <c r="K20" s="21"/>
      <c r="L20" s="21"/>
      <c r="M20" s="21"/>
      <c r="N20" s="23" t="n">
        <f aca="false">IF(D20=0,0,E20/D20)</f>
        <v>0</v>
      </c>
      <c r="O20" s="23" t="n">
        <f aca="false">IF(H20=0,0,G20/H20)</f>
        <v>0</v>
      </c>
      <c r="P20" s="24" t="n">
        <f aca="false">MIN(20,(B20/$B$5)*20)</f>
        <v>0</v>
      </c>
      <c r="Q20" s="24" t="n">
        <f aca="false">MIN(15,(C20/$B$6)*15)</f>
        <v>0</v>
      </c>
      <c r="R20" s="24" t="n">
        <f aca="false">MIN(20,(N20/$B$7)*20)</f>
        <v>0</v>
      </c>
      <c r="S20" s="24" t="n">
        <f aca="false">(F20/10)*15</f>
        <v>0</v>
      </c>
      <c r="T20" s="24" t="n">
        <f aca="false">MAX(0,15-(O20/$B$8)*15)</f>
        <v>15</v>
      </c>
      <c r="U20" s="24" t="n">
        <f aca="false">MIN(10,(I20/$B$9)*10)</f>
        <v>0</v>
      </c>
      <c r="V20" s="24" t="n">
        <f aca="false">(J20/10)*5</f>
        <v>0</v>
      </c>
      <c r="W20" s="24" t="n">
        <f aca="false">SUM(P20:V20)</f>
        <v>15</v>
      </c>
      <c r="X20" s="24" t="n">
        <f aca="false">K20*10+L20*15+IF(M20="S",30,0)</f>
        <v>0</v>
      </c>
      <c r="Y20" s="24" t="n">
        <f aca="false">MAX(0,W20-X20)</f>
        <v>15</v>
      </c>
      <c r="Z20" s="25" t="str">
        <f aca="false">IF(OR(K20&gt;0,M20="S"),"NAO",IF(Y20&lt;60,"NAO (abaixo do minimo)","SIM"))</f>
        <v>NAO (abaixo do minimo)</v>
      </c>
      <c r="AA20" s="25" t="n">
        <f aca="false">RANK(Y20,$Y$12:$Y$21)</f>
        <v>4</v>
      </c>
      <c r="AB20" s="25" t="str">
        <f aca="false">IF(Y20&gt;=90,"OURO",IF(Y20&gt;=80,"PRATA",IF(Y20&gt;=70,"BRONZE","-")))</f>
        <v>-</v>
      </c>
    </row>
    <row r="21" customFormat="false" ht="23.85" hidden="false" customHeight="false" outlineLevel="0" collapsed="false">
      <c r="A21" s="19"/>
      <c r="B21" s="20"/>
      <c r="C21" s="21"/>
      <c r="D21" s="21"/>
      <c r="E21" s="21"/>
      <c r="F21" s="21"/>
      <c r="G21" s="21"/>
      <c r="H21" s="21"/>
      <c r="I21" s="22"/>
      <c r="J21" s="21"/>
      <c r="K21" s="21"/>
      <c r="L21" s="21"/>
      <c r="M21" s="21"/>
      <c r="N21" s="23" t="n">
        <f aca="false">IF(D21=0,0,E21/D21)</f>
        <v>0</v>
      </c>
      <c r="O21" s="23" t="n">
        <f aca="false">IF(H21=0,0,G21/H21)</f>
        <v>0</v>
      </c>
      <c r="P21" s="24" t="n">
        <f aca="false">MIN(20,(B21/$B$5)*20)</f>
        <v>0</v>
      </c>
      <c r="Q21" s="24" t="n">
        <f aca="false">MIN(15,(C21/$B$6)*15)</f>
        <v>0</v>
      </c>
      <c r="R21" s="24" t="n">
        <f aca="false">MIN(20,(N21/$B$7)*20)</f>
        <v>0</v>
      </c>
      <c r="S21" s="24" t="n">
        <f aca="false">(F21/10)*15</f>
        <v>0</v>
      </c>
      <c r="T21" s="24" t="n">
        <f aca="false">MAX(0,15-(O21/$B$8)*15)</f>
        <v>15</v>
      </c>
      <c r="U21" s="24" t="n">
        <f aca="false">MIN(10,(I21/$B$9)*10)</f>
        <v>0</v>
      </c>
      <c r="V21" s="24" t="n">
        <f aca="false">(J21/10)*5</f>
        <v>0</v>
      </c>
      <c r="W21" s="24" t="n">
        <f aca="false">SUM(P21:V21)</f>
        <v>15</v>
      </c>
      <c r="X21" s="24" t="n">
        <f aca="false">K21*10+L21*15+IF(M21="S",30,0)</f>
        <v>0</v>
      </c>
      <c r="Y21" s="24" t="n">
        <f aca="false">MAX(0,W21-X21)</f>
        <v>15</v>
      </c>
      <c r="Z21" s="25" t="str">
        <f aca="false">IF(OR(K21&gt;0,M21="S"),"NAO",IF(Y21&lt;60,"NAO (abaixo do minimo)","SIM"))</f>
        <v>NAO (abaixo do minimo)</v>
      </c>
      <c r="AA21" s="25" t="n">
        <f aca="false">RANK(Y21,$Y$12:$Y$21)</f>
        <v>4</v>
      </c>
      <c r="AB21" s="25" t="str">
        <f aca="false">IF(Y21&gt;=90,"OURO",IF(Y21&gt;=80,"PRATA",IF(Y21&gt;=70,"BRONZE","-")))</f>
        <v>-</v>
      </c>
    </row>
  </sheetData>
  <mergeCells count="3">
    <mergeCell ref="A1:AB1"/>
    <mergeCell ref="A2:AB2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  <col collapsed="false" customWidth="true" hidden="false" outlineLevel="0" max="9" min="6" style="0" width="11"/>
    <col collapsed="false" customWidth="true" hidden="false" outlineLevel="0" max="12" min="10" style="0" width="9"/>
    <col collapsed="false" customWidth="true" hidden="false" outlineLevel="0" max="14" min="13" style="0" width="10"/>
    <col collapsed="false" customWidth="true" hidden="false" outlineLevel="0" max="21" min="15" style="0" width="9"/>
    <col collapsed="false" customWidth="true" hidden="false" outlineLevel="0" max="22" min="22" style="0" width="10"/>
    <col collapsed="false" customWidth="true" hidden="false" outlineLevel="0" max="24" min="23" style="0" width="9"/>
    <col collapsed="false" customWidth="true" hidden="false" outlineLevel="0" max="25" min="25" style="0" width="12"/>
    <col collapsed="false" customWidth="true" hidden="false" outlineLevel="0" max="26" min="26" style="0" width="8"/>
    <col collapsed="false" customWidth="true" hidden="false" outlineLevel="0" max="27" min="27" style="0" width="11"/>
  </cols>
  <sheetData>
    <row r="1" customFormat="false" ht="25.5" hidden="false" customHeight="true" outlineLevel="0" collapsed="false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9.5" hidden="false" customHeight="true" outlineLevel="0" collapsed="false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4" customFormat="false" ht="18" hidden="false" customHeight="true" outlineLevel="0" collapsed="false">
      <c r="A4" s="6" t="s">
        <v>16</v>
      </c>
      <c r="B4" s="6"/>
      <c r="C4" s="6"/>
    </row>
    <row r="5" customFormat="false" ht="23.85" hidden="false" customHeight="false" outlineLevel="0" collapsed="false">
      <c r="A5" s="7" t="s">
        <v>55</v>
      </c>
      <c r="B5" s="9" t="n">
        <v>650</v>
      </c>
    </row>
    <row r="6" customFormat="false" ht="23.85" hidden="false" customHeight="false" outlineLevel="0" collapsed="false">
      <c r="A6" s="7" t="s">
        <v>56</v>
      </c>
      <c r="B6" s="10" t="n">
        <v>0.97</v>
      </c>
    </row>
    <row r="7" customFormat="false" ht="23.85" hidden="false" customHeight="false" outlineLevel="0" collapsed="false">
      <c r="A7" s="7" t="s">
        <v>57</v>
      </c>
      <c r="B7" s="10" t="n">
        <v>0.05</v>
      </c>
    </row>
    <row r="8" customFormat="false" ht="15" hidden="false" customHeight="false" outlineLevel="0" collapsed="false">
      <c r="A8" s="7" t="s">
        <v>58</v>
      </c>
      <c r="B8" s="10" t="n">
        <v>0.04</v>
      </c>
    </row>
    <row r="9" customFormat="false" ht="23.85" hidden="false" customHeight="false" outlineLevel="0" collapsed="false">
      <c r="A9" s="7" t="s">
        <v>59</v>
      </c>
      <c r="B9" s="10" t="n">
        <v>0.95</v>
      </c>
    </row>
    <row r="11" customFormat="false" ht="39.75" hidden="false" customHeight="true" outlineLevel="0" collapsed="false">
      <c r="A11" s="11" t="s">
        <v>60</v>
      </c>
      <c r="B11" s="11" t="s">
        <v>61</v>
      </c>
      <c r="C11" s="11" t="s">
        <v>62</v>
      </c>
      <c r="D11" s="11" t="s">
        <v>63</v>
      </c>
      <c r="E11" s="11" t="s">
        <v>64</v>
      </c>
      <c r="F11" s="11" t="s">
        <v>65</v>
      </c>
      <c r="G11" s="11" t="s">
        <v>66</v>
      </c>
      <c r="H11" s="11" t="s">
        <v>67</v>
      </c>
      <c r="I11" s="11" t="s">
        <v>68</v>
      </c>
      <c r="J11" s="11" t="s">
        <v>32</v>
      </c>
      <c r="K11" s="11" t="s">
        <v>33</v>
      </c>
      <c r="L11" s="11" t="s">
        <v>34</v>
      </c>
      <c r="M11" s="11" t="s">
        <v>69</v>
      </c>
      <c r="N11" s="11" t="s">
        <v>70</v>
      </c>
      <c r="O11" s="11" t="s">
        <v>71</v>
      </c>
      <c r="P11" s="11" t="s">
        <v>72</v>
      </c>
      <c r="Q11" s="11" t="s">
        <v>73</v>
      </c>
      <c r="R11" s="11" t="s">
        <v>74</v>
      </c>
      <c r="S11" s="11" t="s">
        <v>75</v>
      </c>
      <c r="T11" s="11" t="s">
        <v>76</v>
      </c>
      <c r="U11" s="11" t="s">
        <v>77</v>
      </c>
      <c r="V11" s="11" t="s">
        <v>44</v>
      </c>
      <c r="W11" s="11" t="s">
        <v>45</v>
      </c>
      <c r="X11" s="11" t="s">
        <v>46</v>
      </c>
      <c r="Y11" s="11" t="s">
        <v>47</v>
      </c>
      <c r="Z11" s="11" t="s">
        <v>48</v>
      </c>
      <c r="AA11" s="11" t="s">
        <v>49</v>
      </c>
    </row>
    <row r="12" customFormat="false" ht="15" hidden="false" customHeight="false" outlineLevel="0" collapsed="false">
      <c r="A12" s="12" t="s">
        <v>78</v>
      </c>
      <c r="B12" s="14" t="n">
        <v>660</v>
      </c>
      <c r="C12" s="15" t="n">
        <v>0.99</v>
      </c>
      <c r="D12" s="15" t="n">
        <v>0.02</v>
      </c>
      <c r="E12" s="14" t="n">
        <v>1</v>
      </c>
      <c r="F12" s="14" t="n">
        <v>9</v>
      </c>
      <c r="G12" s="15" t="n">
        <v>0.98</v>
      </c>
      <c r="H12" s="14" t="n">
        <v>10</v>
      </c>
      <c r="I12" s="14" t="n">
        <v>9</v>
      </c>
      <c r="J12" s="14" t="n">
        <v>0</v>
      </c>
      <c r="K12" s="14" t="n">
        <v>0</v>
      </c>
      <c r="L12" s="14" t="s">
        <v>51</v>
      </c>
      <c r="M12" s="16" t="n">
        <f aca="false">IF(B12=0,0,E12/B12)</f>
        <v>0.00151515151515152</v>
      </c>
      <c r="N12" s="17" t="n">
        <f aca="false">MIN(20,(B12/$B$5)*20)</f>
        <v>20</v>
      </c>
      <c r="O12" s="17" t="n">
        <f aca="false">MIN(20,(C12/$B$6)*20)</f>
        <v>20</v>
      </c>
      <c r="P12" s="17" t="n">
        <f aca="false">MAX(0,15-(D12/$B$7)*15)</f>
        <v>9</v>
      </c>
      <c r="Q12" s="17" t="n">
        <f aca="false">MAX(0,15-(M12/$B$8)*15)</f>
        <v>14.4318181818182</v>
      </c>
      <c r="R12" s="17" t="n">
        <f aca="false">(F12/10)*10</f>
        <v>9</v>
      </c>
      <c r="S12" s="17" t="n">
        <f aca="false">MIN(10,(G12/$B$9)*10)</f>
        <v>10</v>
      </c>
      <c r="T12" s="17" t="n">
        <f aca="false">(H12/10)*5</f>
        <v>5</v>
      </c>
      <c r="U12" s="17" t="n">
        <f aca="false">(I12/10)*5</f>
        <v>4.5</v>
      </c>
      <c r="V12" s="17" t="n">
        <f aca="false">SUM(N12:U12)</f>
        <v>91.9318181818182</v>
      </c>
      <c r="W12" s="17" t="n">
        <f aca="false">J12*10+K12*15+IF(L12="S",30,0)</f>
        <v>0</v>
      </c>
      <c r="X12" s="17" t="n">
        <f aca="false">MAX(0,V12-W12)</f>
        <v>91.9318181818182</v>
      </c>
      <c r="Y12" s="18" t="str">
        <f aca="false">IF(OR(J12&gt;0,L12="S"),"NAO",IF(X12&lt;60,"NAO (abaixo do minimo)","SIM"))</f>
        <v>SIM</v>
      </c>
      <c r="Z12" s="18" t="n">
        <f aca="false">RANK(X12,$X$12:$X$21)</f>
        <v>1</v>
      </c>
      <c r="AA12" s="18" t="str">
        <f aca="false">IF(X12&gt;=90,"OURO",IF(X12&gt;=80,"PRATA",IF(X12&gt;=70,"BRONZE","-")))</f>
        <v>OURO</v>
      </c>
    </row>
    <row r="13" customFormat="false" ht="15" hidden="false" customHeight="false" outlineLevel="0" collapsed="false">
      <c r="A13" s="12" t="s">
        <v>79</v>
      </c>
      <c r="B13" s="14" t="n">
        <v>580</v>
      </c>
      <c r="C13" s="15" t="n">
        <v>0.95</v>
      </c>
      <c r="D13" s="15" t="n">
        <v>0.04</v>
      </c>
      <c r="E13" s="14" t="n">
        <v>3</v>
      </c>
      <c r="F13" s="14" t="n">
        <v>8</v>
      </c>
      <c r="G13" s="15" t="n">
        <v>0.9</v>
      </c>
      <c r="H13" s="14" t="n">
        <v>9</v>
      </c>
      <c r="I13" s="14" t="n">
        <v>8</v>
      </c>
      <c r="J13" s="14" t="n">
        <v>0</v>
      </c>
      <c r="K13" s="14" t="n">
        <v>0</v>
      </c>
      <c r="L13" s="14" t="s">
        <v>51</v>
      </c>
      <c r="M13" s="16" t="n">
        <f aca="false">IF(B13=0,0,E13/B13)</f>
        <v>0.00517241379310345</v>
      </c>
      <c r="N13" s="17" t="n">
        <f aca="false">MIN(20,(B13/$B$5)*20)</f>
        <v>17.8461538461538</v>
      </c>
      <c r="O13" s="17" t="n">
        <f aca="false">MIN(20,(C13/$B$6)*20)</f>
        <v>19.5876288659794</v>
      </c>
      <c r="P13" s="17" t="n">
        <f aca="false">MAX(0,15-(D13/$B$7)*15)</f>
        <v>3</v>
      </c>
      <c r="Q13" s="17" t="n">
        <f aca="false">MAX(0,15-(M13/$B$8)*15)</f>
        <v>13.0603448275862</v>
      </c>
      <c r="R13" s="17" t="n">
        <f aca="false">(F13/10)*10</f>
        <v>8</v>
      </c>
      <c r="S13" s="17" t="n">
        <f aca="false">MIN(10,(G13/$B$9)*10)</f>
        <v>9.47368421052632</v>
      </c>
      <c r="T13" s="17" t="n">
        <f aca="false">(H13/10)*5</f>
        <v>4.5</v>
      </c>
      <c r="U13" s="17" t="n">
        <f aca="false">(I13/10)*5</f>
        <v>4</v>
      </c>
      <c r="V13" s="17" t="n">
        <f aca="false">SUM(N13:U13)</f>
        <v>79.4678117502457</v>
      </c>
      <c r="W13" s="17" t="n">
        <f aca="false">J13*10+K13*15+IF(L13="S",30,0)</f>
        <v>0</v>
      </c>
      <c r="X13" s="17" t="n">
        <f aca="false">MAX(0,V13-W13)</f>
        <v>79.4678117502457</v>
      </c>
      <c r="Y13" s="18" t="str">
        <f aca="false">IF(OR(J13&gt;0,L13="S"),"NAO",IF(X13&lt;60,"NAO (abaixo do minimo)","SIM"))</f>
        <v>SIM</v>
      </c>
      <c r="Z13" s="18" t="n">
        <f aca="false">RANK(X13,$X$12:$X$21)</f>
        <v>2</v>
      </c>
      <c r="AA13" s="18" t="str">
        <f aca="false">IF(X13&gt;=90,"OURO",IF(X13&gt;=80,"PRATA",IF(X13&gt;=70,"BRONZE","-")))</f>
        <v>BRONZE</v>
      </c>
    </row>
    <row r="14" customFormat="false" ht="15" hidden="false" customHeight="false" outlineLevel="0" collapsed="false">
      <c r="A14" s="12" t="s">
        <v>80</v>
      </c>
      <c r="B14" s="14" t="n">
        <v>500</v>
      </c>
      <c r="C14" s="15" t="n">
        <v>0.9</v>
      </c>
      <c r="D14" s="15" t="n">
        <v>0.08</v>
      </c>
      <c r="E14" s="14" t="n">
        <v>8</v>
      </c>
      <c r="F14" s="14" t="n">
        <v>6</v>
      </c>
      <c r="G14" s="15" t="n">
        <v>0.85</v>
      </c>
      <c r="H14" s="14" t="n">
        <v>7</v>
      </c>
      <c r="I14" s="14" t="n">
        <v>7</v>
      </c>
      <c r="J14" s="14" t="n">
        <v>1</v>
      </c>
      <c r="K14" s="14" t="n">
        <v>0</v>
      </c>
      <c r="L14" s="14" t="s">
        <v>51</v>
      </c>
      <c r="M14" s="16" t="n">
        <f aca="false">IF(B14=0,0,E14/B14)</f>
        <v>0.016</v>
      </c>
      <c r="N14" s="17" t="n">
        <f aca="false">MIN(20,(B14/$B$5)*20)</f>
        <v>15.3846153846154</v>
      </c>
      <c r="O14" s="17" t="n">
        <f aca="false">MIN(20,(C14/$B$6)*20)</f>
        <v>18.5567010309278</v>
      </c>
      <c r="P14" s="17" t="n">
        <f aca="false">MAX(0,15-(D14/$B$7)*15)</f>
        <v>0</v>
      </c>
      <c r="Q14" s="17" t="n">
        <f aca="false">MAX(0,15-(M14/$B$8)*15)</f>
        <v>9</v>
      </c>
      <c r="R14" s="17" t="n">
        <f aca="false">(F14/10)*10</f>
        <v>6</v>
      </c>
      <c r="S14" s="17" t="n">
        <f aca="false">MIN(10,(G14/$B$9)*10)</f>
        <v>8.94736842105263</v>
      </c>
      <c r="T14" s="17" t="n">
        <f aca="false">(H14/10)*5</f>
        <v>3.5</v>
      </c>
      <c r="U14" s="17" t="n">
        <f aca="false">(I14/10)*5</f>
        <v>3.5</v>
      </c>
      <c r="V14" s="17" t="n">
        <f aca="false">SUM(N14:U14)</f>
        <v>64.8886848365959</v>
      </c>
      <c r="W14" s="17" t="n">
        <f aca="false">J14*10+K14*15+IF(L14="S",30,0)</f>
        <v>10</v>
      </c>
      <c r="X14" s="17" t="n">
        <f aca="false">MAX(0,V14-W14)</f>
        <v>54.8886848365959</v>
      </c>
      <c r="Y14" s="18" t="str">
        <f aca="false">IF(OR(J14&gt;0,L14="S"),"NAO",IF(X14&lt;60,"NAO (abaixo do minimo)","SIM"))</f>
        <v>NAO</v>
      </c>
      <c r="Z14" s="18" t="n">
        <f aca="false">RANK(X14,$X$12:$X$21)</f>
        <v>3</v>
      </c>
      <c r="AA14" s="18" t="str">
        <f aca="false">IF(X14&gt;=90,"OURO",IF(X14&gt;=80,"PRATA",IF(X14&gt;=70,"BRONZE","-")))</f>
        <v>-</v>
      </c>
    </row>
    <row r="15" customFormat="false" ht="23.85" hidden="false" customHeight="false" outlineLevel="0" collapsed="false">
      <c r="A15" s="19"/>
      <c r="B15" s="21"/>
      <c r="C15" s="22"/>
      <c r="D15" s="22"/>
      <c r="E15" s="21"/>
      <c r="F15" s="21"/>
      <c r="G15" s="22"/>
      <c r="H15" s="21"/>
      <c r="I15" s="21"/>
      <c r="J15" s="21"/>
      <c r="K15" s="21"/>
      <c r="L15" s="21"/>
      <c r="M15" s="23" t="n">
        <f aca="false">IF(B15=0,0,E15/B15)</f>
        <v>0</v>
      </c>
      <c r="N15" s="24" t="n">
        <f aca="false">MIN(20,(B15/$B$5)*20)</f>
        <v>0</v>
      </c>
      <c r="O15" s="24" t="n">
        <f aca="false">MIN(20,(C15/$B$6)*20)</f>
        <v>0</v>
      </c>
      <c r="P15" s="24" t="n">
        <f aca="false">MAX(0,15-(D15/$B$7)*15)</f>
        <v>15</v>
      </c>
      <c r="Q15" s="24" t="n">
        <f aca="false">MAX(0,15-(M15/$B$8)*15)</f>
        <v>15</v>
      </c>
      <c r="R15" s="24" t="n">
        <f aca="false">(F15/10)*10</f>
        <v>0</v>
      </c>
      <c r="S15" s="24" t="n">
        <f aca="false">MIN(10,(G15/$B$9)*10)</f>
        <v>0</v>
      </c>
      <c r="T15" s="24" t="n">
        <f aca="false">(H15/10)*5</f>
        <v>0</v>
      </c>
      <c r="U15" s="24" t="n">
        <f aca="false">(I15/10)*5</f>
        <v>0</v>
      </c>
      <c r="V15" s="24" t="n">
        <f aca="false">SUM(N15:U15)</f>
        <v>30</v>
      </c>
      <c r="W15" s="24" t="n">
        <f aca="false">J15*10+K15*15+IF(L15="S",30,0)</f>
        <v>0</v>
      </c>
      <c r="X15" s="24" t="n">
        <f aca="false">MAX(0,V15-W15)</f>
        <v>30</v>
      </c>
      <c r="Y15" s="25" t="str">
        <f aca="false">IF(OR(J15&gt;0,L15="S"),"NAO",IF(X15&lt;60,"NAO (abaixo do minimo)","SIM"))</f>
        <v>NAO (abaixo do minimo)</v>
      </c>
      <c r="Z15" s="25" t="n">
        <f aca="false">RANK(X15,$X$12:$X$21)</f>
        <v>4</v>
      </c>
      <c r="AA15" s="25" t="str">
        <f aca="false">IF(X15&gt;=90,"OURO",IF(X15&gt;=80,"PRATA",IF(X15&gt;=70,"BRONZE","-")))</f>
        <v>-</v>
      </c>
    </row>
    <row r="16" customFormat="false" ht="23.85" hidden="false" customHeight="false" outlineLevel="0" collapsed="false">
      <c r="A16" s="19"/>
      <c r="B16" s="21"/>
      <c r="C16" s="22"/>
      <c r="D16" s="22"/>
      <c r="E16" s="21"/>
      <c r="F16" s="21"/>
      <c r="G16" s="22"/>
      <c r="H16" s="21"/>
      <c r="I16" s="21"/>
      <c r="J16" s="21"/>
      <c r="K16" s="21"/>
      <c r="L16" s="21"/>
      <c r="M16" s="23" t="n">
        <f aca="false">IF(B16=0,0,E16/B16)</f>
        <v>0</v>
      </c>
      <c r="N16" s="24" t="n">
        <f aca="false">MIN(20,(B16/$B$5)*20)</f>
        <v>0</v>
      </c>
      <c r="O16" s="24" t="n">
        <f aca="false">MIN(20,(C16/$B$6)*20)</f>
        <v>0</v>
      </c>
      <c r="P16" s="24" t="n">
        <f aca="false">MAX(0,15-(D16/$B$7)*15)</f>
        <v>15</v>
      </c>
      <c r="Q16" s="24" t="n">
        <f aca="false">MAX(0,15-(M16/$B$8)*15)</f>
        <v>15</v>
      </c>
      <c r="R16" s="24" t="n">
        <f aca="false">(F16/10)*10</f>
        <v>0</v>
      </c>
      <c r="S16" s="24" t="n">
        <f aca="false">MIN(10,(G16/$B$9)*10)</f>
        <v>0</v>
      </c>
      <c r="T16" s="24" t="n">
        <f aca="false">(H16/10)*5</f>
        <v>0</v>
      </c>
      <c r="U16" s="24" t="n">
        <f aca="false">(I16/10)*5</f>
        <v>0</v>
      </c>
      <c r="V16" s="24" t="n">
        <f aca="false">SUM(N16:U16)</f>
        <v>30</v>
      </c>
      <c r="W16" s="24" t="n">
        <f aca="false">J16*10+K16*15+IF(L16="S",30,0)</f>
        <v>0</v>
      </c>
      <c r="X16" s="24" t="n">
        <f aca="false">MAX(0,V16-W16)</f>
        <v>30</v>
      </c>
      <c r="Y16" s="25" t="str">
        <f aca="false">IF(OR(J16&gt;0,L16="S"),"NAO",IF(X16&lt;60,"NAO (abaixo do minimo)","SIM"))</f>
        <v>NAO (abaixo do minimo)</v>
      </c>
      <c r="Z16" s="25" t="n">
        <f aca="false">RANK(X16,$X$12:$X$21)</f>
        <v>4</v>
      </c>
      <c r="AA16" s="25" t="str">
        <f aca="false">IF(X16&gt;=90,"OURO",IF(X16&gt;=80,"PRATA",IF(X16&gt;=70,"BRONZE","-")))</f>
        <v>-</v>
      </c>
    </row>
    <row r="17" customFormat="false" ht="23.85" hidden="false" customHeight="false" outlineLevel="0" collapsed="false">
      <c r="A17" s="19"/>
      <c r="B17" s="21"/>
      <c r="C17" s="22"/>
      <c r="D17" s="22"/>
      <c r="E17" s="21"/>
      <c r="F17" s="21"/>
      <c r="G17" s="22"/>
      <c r="H17" s="21"/>
      <c r="I17" s="21"/>
      <c r="J17" s="21"/>
      <c r="K17" s="21"/>
      <c r="L17" s="21"/>
      <c r="M17" s="23" t="n">
        <f aca="false">IF(B17=0,0,E17/B17)</f>
        <v>0</v>
      </c>
      <c r="N17" s="24" t="n">
        <f aca="false">MIN(20,(B17/$B$5)*20)</f>
        <v>0</v>
      </c>
      <c r="O17" s="24" t="n">
        <f aca="false">MIN(20,(C17/$B$6)*20)</f>
        <v>0</v>
      </c>
      <c r="P17" s="24" t="n">
        <f aca="false">MAX(0,15-(D17/$B$7)*15)</f>
        <v>15</v>
      </c>
      <c r="Q17" s="24" t="n">
        <f aca="false">MAX(0,15-(M17/$B$8)*15)</f>
        <v>15</v>
      </c>
      <c r="R17" s="24" t="n">
        <f aca="false">(F17/10)*10</f>
        <v>0</v>
      </c>
      <c r="S17" s="24" t="n">
        <f aca="false">MIN(10,(G17/$B$9)*10)</f>
        <v>0</v>
      </c>
      <c r="T17" s="24" t="n">
        <f aca="false">(H17/10)*5</f>
        <v>0</v>
      </c>
      <c r="U17" s="24" t="n">
        <f aca="false">(I17/10)*5</f>
        <v>0</v>
      </c>
      <c r="V17" s="24" t="n">
        <f aca="false">SUM(N17:U17)</f>
        <v>30</v>
      </c>
      <c r="W17" s="24" t="n">
        <f aca="false">J17*10+K17*15+IF(L17="S",30,0)</f>
        <v>0</v>
      </c>
      <c r="X17" s="24" t="n">
        <f aca="false">MAX(0,V17-W17)</f>
        <v>30</v>
      </c>
      <c r="Y17" s="25" t="str">
        <f aca="false">IF(OR(J17&gt;0,L17="S"),"NAO",IF(X17&lt;60,"NAO (abaixo do minimo)","SIM"))</f>
        <v>NAO (abaixo do minimo)</v>
      </c>
      <c r="Z17" s="25" t="n">
        <f aca="false">RANK(X17,$X$12:$X$21)</f>
        <v>4</v>
      </c>
      <c r="AA17" s="25" t="str">
        <f aca="false">IF(X17&gt;=90,"OURO",IF(X17&gt;=80,"PRATA",IF(X17&gt;=70,"BRONZE","-")))</f>
        <v>-</v>
      </c>
    </row>
    <row r="18" customFormat="false" ht="23.85" hidden="false" customHeight="false" outlineLevel="0" collapsed="false">
      <c r="A18" s="19"/>
      <c r="B18" s="21"/>
      <c r="C18" s="22"/>
      <c r="D18" s="22"/>
      <c r="E18" s="21"/>
      <c r="F18" s="21"/>
      <c r="G18" s="22"/>
      <c r="H18" s="21"/>
      <c r="I18" s="21"/>
      <c r="J18" s="21"/>
      <c r="K18" s="21"/>
      <c r="L18" s="21"/>
      <c r="M18" s="23" t="n">
        <f aca="false">IF(B18=0,0,E18/B18)</f>
        <v>0</v>
      </c>
      <c r="N18" s="24" t="n">
        <f aca="false">MIN(20,(B18/$B$5)*20)</f>
        <v>0</v>
      </c>
      <c r="O18" s="24" t="n">
        <f aca="false">MIN(20,(C18/$B$6)*20)</f>
        <v>0</v>
      </c>
      <c r="P18" s="24" t="n">
        <f aca="false">MAX(0,15-(D18/$B$7)*15)</f>
        <v>15</v>
      </c>
      <c r="Q18" s="24" t="n">
        <f aca="false">MAX(0,15-(M18/$B$8)*15)</f>
        <v>15</v>
      </c>
      <c r="R18" s="24" t="n">
        <f aca="false">(F18/10)*10</f>
        <v>0</v>
      </c>
      <c r="S18" s="24" t="n">
        <f aca="false">MIN(10,(G18/$B$9)*10)</f>
        <v>0</v>
      </c>
      <c r="T18" s="24" t="n">
        <f aca="false">(H18/10)*5</f>
        <v>0</v>
      </c>
      <c r="U18" s="24" t="n">
        <f aca="false">(I18/10)*5</f>
        <v>0</v>
      </c>
      <c r="V18" s="24" t="n">
        <f aca="false">SUM(N18:U18)</f>
        <v>30</v>
      </c>
      <c r="W18" s="24" t="n">
        <f aca="false">J18*10+K18*15+IF(L18="S",30,0)</f>
        <v>0</v>
      </c>
      <c r="X18" s="24" t="n">
        <f aca="false">MAX(0,V18-W18)</f>
        <v>30</v>
      </c>
      <c r="Y18" s="25" t="str">
        <f aca="false">IF(OR(J18&gt;0,L18="S"),"NAO",IF(X18&lt;60,"NAO (abaixo do minimo)","SIM"))</f>
        <v>NAO (abaixo do minimo)</v>
      </c>
      <c r="Z18" s="25" t="n">
        <f aca="false">RANK(X18,$X$12:$X$21)</f>
        <v>4</v>
      </c>
      <c r="AA18" s="25" t="str">
        <f aca="false">IF(X18&gt;=90,"OURO",IF(X18&gt;=80,"PRATA",IF(X18&gt;=70,"BRONZE","-")))</f>
        <v>-</v>
      </c>
    </row>
    <row r="19" customFormat="false" ht="23.85" hidden="false" customHeight="false" outlineLevel="0" collapsed="false">
      <c r="A19" s="19"/>
      <c r="B19" s="21"/>
      <c r="C19" s="22"/>
      <c r="D19" s="22"/>
      <c r="E19" s="21"/>
      <c r="F19" s="21"/>
      <c r="G19" s="22"/>
      <c r="H19" s="21"/>
      <c r="I19" s="21"/>
      <c r="J19" s="21"/>
      <c r="K19" s="21"/>
      <c r="L19" s="21"/>
      <c r="M19" s="23" t="n">
        <f aca="false">IF(B19=0,0,E19/B19)</f>
        <v>0</v>
      </c>
      <c r="N19" s="24" t="n">
        <f aca="false">MIN(20,(B19/$B$5)*20)</f>
        <v>0</v>
      </c>
      <c r="O19" s="24" t="n">
        <f aca="false">MIN(20,(C19/$B$6)*20)</f>
        <v>0</v>
      </c>
      <c r="P19" s="24" t="n">
        <f aca="false">MAX(0,15-(D19/$B$7)*15)</f>
        <v>15</v>
      </c>
      <c r="Q19" s="24" t="n">
        <f aca="false">MAX(0,15-(M19/$B$8)*15)</f>
        <v>15</v>
      </c>
      <c r="R19" s="24" t="n">
        <f aca="false">(F19/10)*10</f>
        <v>0</v>
      </c>
      <c r="S19" s="24" t="n">
        <f aca="false">MIN(10,(G19/$B$9)*10)</f>
        <v>0</v>
      </c>
      <c r="T19" s="24" t="n">
        <f aca="false">(H19/10)*5</f>
        <v>0</v>
      </c>
      <c r="U19" s="24" t="n">
        <f aca="false">(I19/10)*5</f>
        <v>0</v>
      </c>
      <c r="V19" s="24" t="n">
        <f aca="false">SUM(N19:U19)</f>
        <v>30</v>
      </c>
      <c r="W19" s="24" t="n">
        <f aca="false">J19*10+K19*15+IF(L19="S",30,0)</f>
        <v>0</v>
      </c>
      <c r="X19" s="24" t="n">
        <f aca="false">MAX(0,V19-W19)</f>
        <v>30</v>
      </c>
      <c r="Y19" s="25" t="str">
        <f aca="false">IF(OR(J19&gt;0,L19="S"),"NAO",IF(X19&lt;60,"NAO (abaixo do minimo)","SIM"))</f>
        <v>NAO (abaixo do minimo)</v>
      </c>
      <c r="Z19" s="25" t="n">
        <f aca="false">RANK(X19,$X$12:$X$21)</f>
        <v>4</v>
      </c>
      <c r="AA19" s="25" t="str">
        <f aca="false">IF(X19&gt;=90,"OURO",IF(X19&gt;=80,"PRATA",IF(X19&gt;=70,"BRONZE","-")))</f>
        <v>-</v>
      </c>
    </row>
    <row r="20" customFormat="false" ht="23.85" hidden="false" customHeight="false" outlineLevel="0" collapsed="false">
      <c r="A20" s="19"/>
      <c r="B20" s="21"/>
      <c r="C20" s="22"/>
      <c r="D20" s="22"/>
      <c r="E20" s="21"/>
      <c r="F20" s="21"/>
      <c r="G20" s="22"/>
      <c r="H20" s="21"/>
      <c r="I20" s="21"/>
      <c r="J20" s="21"/>
      <c r="K20" s="21"/>
      <c r="L20" s="21"/>
      <c r="M20" s="23" t="n">
        <f aca="false">IF(B20=0,0,E20/B20)</f>
        <v>0</v>
      </c>
      <c r="N20" s="24" t="n">
        <f aca="false">MIN(20,(B20/$B$5)*20)</f>
        <v>0</v>
      </c>
      <c r="O20" s="24" t="n">
        <f aca="false">MIN(20,(C20/$B$6)*20)</f>
        <v>0</v>
      </c>
      <c r="P20" s="24" t="n">
        <f aca="false">MAX(0,15-(D20/$B$7)*15)</f>
        <v>15</v>
      </c>
      <c r="Q20" s="24" t="n">
        <f aca="false">MAX(0,15-(M20/$B$8)*15)</f>
        <v>15</v>
      </c>
      <c r="R20" s="24" t="n">
        <f aca="false">(F20/10)*10</f>
        <v>0</v>
      </c>
      <c r="S20" s="24" t="n">
        <f aca="false">MIN(10,(G20/$B$9)*10)</f>
        <v>0</v>
      </c>
      <c r="T20" s="24" t="n">
        <f aca="false">(H20/10)*5</f>
        <v>0</v>
      </c>
      <c r="U20" s="24" t="n">
        <f aca="false">(I20/10)*5</f>
        <v>0</v>
      </c>
      <c r="V20" s="24" t="n">
        <f aca="false">SUM(N20:U20)</f>
        <v>30</v>
      </c>
      <c r="W20" s="24" t="n">
        <f aca="false">J20*10+K20*15+IF(L20="S",30,0)</f>
        <v>0</v>
      </c>
      <c r="X20" s="24" t="n">
        <f aca="false">MAX(0,V20-W20)</f>
        <v>30</v>
      </c>
      <c r="Y20" s="25" t="str">
        <f aca="false">IF(OR(J20&gt;0,L20="S"),"NAO",IF(X20&lt;60,"NAO (abaixo do minimo)","SIM"))</f>
        <v>NAO (abaixo do minimo)</v>
      </c>
      <c r="Z20" s="25" t="n">
        <f aca="false">RANK(X20,$X$12:$X$21)</f>
        <v>4</v>
      </c>
      <c r="AA20" s="25" t="str">
        <f aca="false">IF(X20&gt;=90,"OURO",IF(X20&gt;=80,"PRATA",IF(X20&gt;=70,"BRONZE","-")))</f>
        <v>-</v>
      </c>
    </row>
    <row r="21" customFormat="false" ht="23.85" hidden="false" customHeight="false" outlineLevel="0" collapsed="false">
      <c r="A21" s="19"/>
      <c r="B21" s="21"/>
      <c r="C21" s="22"/>
      <c r="D21" s="22"/>
      <c r="E21" s="21"/>
      <c r="F21" s="21"/>
      <c r="G21" s="22"/>
      <c r="H21" s="21"/>
      <c r="I21" s="21"/>
      <c r="J21" s="21"/>
      <c r="K21" s="21"/>
      <c r="L21" s="21"/>
      <c r="M21" s="23" t="n">
        <f aca="false">IF(B21=0,0,E21/B21)</f>
        <v>0</v>
      </c>
      <c r="N21" s="24" t="n">
        <f aca="false">MIN(20,(B21/$B$5)*20)</f>
        <v>0</v>
      </c>
      <c r="O21" s="24" t="n">
        <f aca="false">MIN(20,(C21/$B$6)*20)</f>
        <v>0</v>
      </c>
      <c r="P21" s="24" t="n">
        <f aca="false">MAX(0,15-(D21/$B$7)*15)</f>
        <v>15</v>
      </c>
      <c r="Q21" s="24" t="n">
        <f aca="false">MAX(0,15-(M21/$B$8)*15)</f>
        <v>15</v>
      </c>
      <c r="R21" s="24" t="n">
        <f aca="false">(F21/10)*10</f>
        <v>0</v>
      </c>
      <c r="S21" s="24" t="n">
        <f aca="false">MIN(10,(G21/$B$9)*10)</f>
        <v>0</v>
      </c>
      <c r="T21" s="24" t="n">
        <f aca="false">(H21/10)*5</f>
        <v>0</v>
      </c>
      <c r="U21" s="24" t="n">
        <f aca="false">(I21/10)*5</f>
        <v>0</v>
      </c>
      <c r="V21" s="24" t="n">
        <f aca="false">SUM(N21:U21)</f>
        <v>30</v>
      </c>
      <c r="W21" s="24" t="n">
        <f aca="false">J21*10+K21*15+IF(L21="S",30,0)</f>
        <v>0</v>
      </c>
      <c r="X21" s="24" t="n">
        <f aca="false">MAX(0,V21-W21)</f>
        <v>30</v>
      </c>
      <c r="Y21" s="25" t="str">
        <f aca="false">IF(OR(J21&gt;0,L21="S"),"NAO",IF(X21&lt;60,"NAO (abaixo do minimo)","SIM"))</f>
        <v>NAO (abaixo do minimo)</v>
      </c>
      <c r="Z21" s="25" t="n">
        <f aca="false">RANK(X21,$X$12:$X$21)</f>
        <v>4</v>
      </c>
      <c r="AA21" s="25" t="str">
        <f aca="false">IF(X21&gt;=90,"OURO",IF(X21&gt;=80,"PRATA",IF(X21&gt;=70,"BRONZE","-")))</f>
        <v>-</v>
      </c>
    </row>
  </sheetData>
  <mergeCells count="3">
    <mergeCell ref="A1:AA1"/>
    <mergeCell ref="A2:AA2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1"/>
    <col collapsed="false" customWidth="true" hidden="false" outlineLevel="0" max="10" min="10" style="0" width="12"/>
    <col collapsed="false" customWidth="true" hidden="false" outlineLevel="0" max="13" min="11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4" min="17" style="0" width="9"/>
    <col collapsed="false" customWidth="true" hidden="false" outlineLevel="0" max="25" min="25" style="0" width="10"/>
    <col collapsed="false" customWidth="true" hidden="false" outlineLevel="0" max="27" min="26" style="0" width="9"/>
    <col collapsed="false" customWidth="true" hidden="false" outlineLevel="0" max="28" min="28" style="0" width="12"/>
    <col collapsed="false" customWidth="true" hidden="false" outlineLevel="0" max="29" min="29" style="0" width="8"/>
    <col collapsed="false" customWidth="true" hidden="false" outlineLevel="0" max="30" min="30" style="0" width="11"/>
  </cols>
  <sheetData>
    <row r="1" customFormat="false" ht="25.5" hidden="false" customHeight="true" outlineLevel="0" collapsed="false">
      <c r="A1" s="4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9.5" hidden="false" customHeight="true" outlineLevel="0" collapsed="false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4" customFormat="false" ht="18" hidden="false" customHeight="true" outlineLevel="0" collapsed="false">
      <c r="A4" s="6" t="s">
        <v>16</v>
      </c>
      <c r="B4" s="6"/>
      <c r="C4" s="6"/>
    </row>
    <row r="5" customFormat="false" ht="23.85" hidden="false" customHeight="false" outlineLevel="0" collapsed="false">
      <c r="A5" s="7" t="s">
        <v>82</v>
      </c>
      <c r="B5" s="10" t="n">
        <v>0.95</v>
      </c>
    </row>
    <row r="6" customFormat="false" ht="15" hidden="false" customHeight="false" outlineLevel="0" collapsed="false">
      <c r="A6" s="7" t="s">
        <v>83</v>
      </c>
      <c r="B6" s="10" t="n">
        <v>0.03</v>
      </c>
    </row>
    <row r="7" customFormat="false" ht="23.85" hidden="false" customHeight="false" outlineLevel="0" collapsed="false">
      <c r="A7" s="7" t="s">
        <v>84</v>
      </c>
      <c r="B7" s="10" t="n">
        <v>0.95</v>
      </c>
    </row>
    <row r="8" customFormat="false" ht="23.85" hidden="false" customHeight="false" outlineLevel="0" collapsed="false">
      <c r="A8" s="7" t="s">
        <v>85</v>
      </c>
      <c r="B8" s="10" t="n">
        <v>0.03</v>
      </c>
    </row>
    <row r="11" customFormat="false" ht="39.75" hidden="false" customHeight="true" outlineLevel="0" collapsed="false">
      <c r="A11" s="11" t="s">
        <v>86</v>
      </c>
      <c r="B11" s="11" t="s">
        <v>87</v>
      </c>
      <c r="C11" s="11" t="s">
        <v>88</v>
      </c>
      <c r="D11" s="11" t="s">
        <v>89</v>
      </c>
      <c r="E11" s="11" t="s">
        <v>90</v>
      </c>
      <c r="F11" s="11" t="s">
        <v>27</v>
      </c>
      <c r="G11" s="11" t="s">
        <v>91</v>
      </c>
      <c r="H11" s="11" t="s">
        <v>92</v>
      </c>
      <c r="I11" s="11" t="s">
        <v>93</v>
      </c>
      <c r="J11" s="11" t="s">
        <v>94</v>
      </c>
      <c r="K11" s="11" t="s">
        <v>32</v>
      </c>
      <c r="L11" s="11" t="s">
        <v>33</v>
      </c>
      <c r="M11" s="11" t="s">
        <v>34</v>
      </c>
      <c r="N11" s="11" t="s">
        <v>95</v>
      </c>
      <c r="O11" s="11" t="s">
        <v>96</v>
      </c>
      <c r="P11" s="11" t="s">
        <v>97</v>
      </c>
      <c r="Q11" s="11" t="s">
        <v>98</v>
      </c>
      <c r="R11" s="11" t="s">
        <v>99</v>
      </c>
      <c r="S11" s="11" t="s">
        <v>100</v>
      </c>
      <c r="T11" s="11" t="s">
        <v>40</v>
      </c>
      <c r="U11" s="11" t="s">
        <v>101</v>
      </c>
      <c r="V11" s="11" t="s">
        <v>102</v>
      </c>
      <c r="W11" s="11" t="s">
        <v>103</v>
      </c>
      <c r="X11" s="11" t="s">
        <v>104</v>
      </c>
      <c r="Y11" s="11" t="s">
        <v>44</v>
      </c>
      <c r="Z11" s="11" t="s">
        <v>45</v>
      </c>
      <c r="AA11" s="11" t="s">
        <v>46</v>
      </c>
      <c r="AB11" s="11" t="s">
        <v>47</v>
      </c>
      <c r="AC11" s="11" t="s">
        <v>48</v>
      </c>
      <c r="AD11" s="11" t="s">
        <v>49</v>
      </c>
    </row>
    <row r="12" customFormat="false" ht="15" hidden="false" customHeight="false" outlineLevel="0" collapsed="false">
      <c r="A12" s="12" t="s">
        <v>105</v>
      </c>
      <c r="B12" s="14" t="n">
        <v>55</v>
      </c>
      <c r="C12" s="14" t="n">
        <v>55</v>
      </c>
      <c r="D12" s="14" t="n">
        <v>0</v>
      </c>
      <c r="E12" s="14" t="n">
        <v>10</v>
      </c>
      <c r="F12" s="14" t="n">
        <v>10</v>
      </c>
      <c r="G12" s="14" t="n">
        <v>9</v>
      </c>
      <c r="H12" s="15" t="n">
        <v>0.98</v>
      </c>
      <c r="I12" s="14" t="n">
        <v>0</v>
      </c>
      <c r="J12" s="14" t="n">
        <v>10</v>
      </c>
      <c r="K12" s="14" t="n">
        <v>0</v>
      </c>
      <c r="L12" s="14" t="n">
        <v>0</v>
      </c>
      <c r="M12" s="14" t="s">
        <v>51</v>
      </c>
      <c r="N12" s="16" t="n">
        <f aca="false">IF(B12=0,0,C12/B12)</f>
        <v>1</v>
      </c>
      <c r="O12" s="16" t="n">
        <f aca="false">IF(B12=0,0,D12/B12)</f>
        <v>0</v>
      </c>
      <c r="P12" s="16" t="n">
        <f aca="false">IF(B12=0,0,I12/B12)</f>
        <v>0</v>
      </c>
      <c r="Q12" s="17" t="n">
        <f aca="false">MIN(20,(N12/$B$5)*20)</f>
        <v>20</v>
      </c>
      <c r="R12" s="17" t="n">
        <f aca="false">MAX(0,15-(O12/$B$6)*15)</f>
        <v>15</v>
      </c>
      <c r="S12" s="17" t="n">
        <f aca="false">(E12/10)*10</f>
        <v>10</v>
      </c>
      <c r="T12" s="17" t="n">
        <f aca="false">(F12/10)*15</f>
        <v>15</v>
      </c>
      <c r="U12" s="17" t="n">
        <f aca="false">(G12/10)*10</f>
        <v>9</v>
      </c>
      <c r="V12" s="17" t="n">
        <f aca="false">MIN(10,(H12/$B$7)*10)</f>
        <v>10</v>
      </c>
      <c r="W12" s="17" t="n">
        <f aca="false">MAX(0,15-(P12/$B$8)*15)</f>
        <v>15</v>
      </c>
      <c r="X12" s="17" t="n">
        <f aca="false">(J12/10)*5</f>
        <v>5</v>
      </c>
      <c r="Y12" s="17" t="n">
        <f aca="false">SUM(Q12:X12)</f>
        <v>99</v>
      </c>
      <c r="Z12" s="17" t="n">
        <f aca="false">K12*10+L12*15+IF(M12="S",30,0)</f>
        <v>0</v>
      </c>
      <c r="AA12" s="17" t="n">
        <f aca="false">MAX(0,Y12-Z12)</f>
        <v>99</v>
      </c>
      <c r="AB12" s="18" t="str">
        <f aca="false">IF(OR(K12&gt;0,M12="S"),"NAO",IF(AA12&lt;60,"NAO (abaixo do minimo)","SIM"))</f>
        <v>SIM</v>
      </c>
      <c r="AC12" s="18" t="n">
        <f aca="false">RANK(AA12,$AA$12:$AA$21)</f>
        <v>1</v>
      </c>
      <c r="AD12" s="18" t="str">
        <f aca="false">IF(AA12&gt;=90,"OURO",IF(AA12&gt;=80,"PRATA",IF(AA12&gt;=70,"BRONZE","-")))</f>
        <v>OURO</v>
      </c>
    </row>
    <row r="13" customFormat="false" ht="15" hidden="false" customHeight="false" outlineLevel="0" collapsed="false">
      <c r="A13" s="12" t="s">
        <v>106</v>
      </c>
      <c r="B13" s="14" t="n">
        <v>50</v>
      </c>
      <c r="C13" s="14" t="n">
        <v>47</v>
      </c>
      <c r="D13" s="14" t="n">
        <v>1</v>
      </c>
      <c r="E13" s="14" t="n">
        <v>9</v>
      </c>
      <c r="F13" s="14" t="n">
        <v>9.5</v>
      </c>
      <c r="G13" s="14" t="n">
        <v>8</v>
      </c>
      <c r="H13" s="15" t="n">
        <v>0.92</v>
      </c>
      <c r="I13" s="14" t="n">
        <v>0</v>
      </c>
      <c r="J13" s="14" t="n">
        <v>9</v>
      </c>
      <c r="K13" s="14" t="n">
        <v>0</v>
      </c>
      <c r="L13" s="14" t="n">
        <v>0</v>
      </c>
      <c r="M13" s="14" t="s">
        <v>51</v>
      </c>
      <c r="N13" s="16" t="n">
        <f aca="false">IF(B13=0,0,C13/B13)</f>
        <v>0.94</v>
      </c>
      <c r="O13" s="16" t="n">
        <f aca="false">IF(B13=0,0,D13/B13)</f>
        <v>0.02</v>
      </c>
      <c r="P13" s="16" t="n">
        <f aca="false">IF(B13=0,0,I13/B13)</f>
        <v>0</v>
      </c>
      <c r="Q13" s="17" t="n">
        <f aca="false">MIN(20,(N13/$B$5)*20)</f>
        <v>19.7894736842105</v>
      </c>
      <c r="R13" s="17" t="n">
        <f aca="false">MAX(0,15-(O13/$B$6)*15)</f>
        <v>5</v>
      </c>
      <c r="S13" s="17" t="n">
        <f aca="false">(E13/10)*10</f>
        <v>9</v>
      </c>
      <c r="T13" s="17" t="n">
        <f aca="false">(F13/10)*15</f>
        <v>14.25</v>
      </c>
      <c r="U13" s="17" t="n">
        <f aca="false">(G13/10)*10</f>
        <v>8</v>
      </c>
      <c r="V13" s="17" t="n">
        <f aca="false">MIN(10,(H13/$B$7)*10)</f>
        <v>9.68421052631579</v>
      </c>
      <c r="W13" s="17" t="n">
        <f aca="false">MAX(0,15-(P13/$B$8)*15)</f>
        <v>15</v>
      </c>
      <c r="X13" s="17" t="n">
        <f aca="false">(J13/10)*5</f>
        <v>4.5</v>
      </c>
      <c r="Y13" s="17" t="n">
        <f aca="false">SUM(Q13:X13)</f>
        <v>85.2236842105263</v>
      </c>
      <c r="Z13" s="17" t="n">
        <f aca="false">K13*10+L13*15+IF(M13="S",30,0)</f>
        <v>0</v>
      </c>
      <c r="AA13" s="17" t="n">
        <f aca="false">MAX(0,Y13-Z13)</f>
        <v>85.2236842105263</v>
      </c>
      <c r="AB13" s="18" t="str">
        <f aca="false">IF(OR(K13&gt;0,M13="S"),"NAO",IF(AA13&lt;60,"NAO (abaixo do minimo)","SIM"))</f>
        <v>SIM</v>
      </c>
      <c r="AC13" s="18" t="n">
        <f aca="false">RANK(AA13,$AA$12:$AA$21)</f>
        <v>2</v>
      </c>
      <c r="AD13" s="18" t="str">
        <f aca="false">IF(AA13&gt;=90,"OURO",IF(AA13&gt;=80,"PRATA",IF(AA13&gt;=70,"BRONZE","-")))</f>
        <v>PRATA</v>
      </c>
    </row>
    <row r="14" customFormat="false" ht="23.85" hidden="false" customHeight="false" outlineLevel="0" collapsed="false">
      <c r="A14" s="12" t="s">
        <v>107</v>
      </c>
      <c r="B14" s="14" t="n">
        <v>48</v>
      </c>
      <c r="C14" s="14" t="n">
        <v>40</v>
      </c>
      <c r="D14" s="14" t="n">
        <v>3</v>
      </c>
      <c r="E14" s="14" t="n">
        <v>6</v>
      </c>
      <c r="F14" s="14" t="n">
        <v>7</v>
      </c>
      <c r="G14" s="14" t="n">
        <v>6</v>
      </c>
      <c r="H14" s="15" t="n">
        <v>0.8</v>
      </c>
      <c r="I14" s="14" t="n">
        <v>2</v>
      </c>
      <c r="J14" s="14" t="n">
        <v>6</v>
      </c>
      <c r="K14" s="14" t="n">
        <v>0</v>
      </c>
      <c r="L14" s="14" t="n">
        <v>1</v>
      </c>
      <c r="M14" s="14" t="s">
        <v>51</v>
      </c>
      <c r="N14" s="16" t="n">
        <f aca="false">IF(B14=0,0,C14/B14)</f>
        <v>0.833333333333333</v>
      </c>
      <c r="O14" s="16" t="n">
        <f aca="false">IF(B14=0,0,D14/B14)</f>
        <v>0.0625</v>
      </c>
      <c r="P14" s="16" t="n">
        <f aca="false">IF(B14=0,0,I14/B14)</f>
        <v>0.0416666666666667</v>
      </c>
      <c r="Q14" s="17" t="n">
        <f aca="false">MIN(20,(N14/$B$5)*20)</f>
        <v>17.5438596491228</v>
      </c>
      <c r="R14" s="17" t="n">
        <f aca="false">MAX(0,15-(O14/$B$6)*15)</f>
        <v>0</v>
      </c>
      <c r="S14" s="17" t="n">
        <f aca="false">(E14/10)*10</f>
        <v>6</v>
      </c>
      <c r="T14" s="17" t="n">
        <f aca="false">(F14/10)*15</f>
        <v>10.5</v>
      </c>
      <c r="U14" s="17" t="n">
        <f aca="false">(G14/10)*10</f>
        <v>6</v>
      </c>
      <c r="V14" s="17" t="n">
        <f aca="false">MIN(10,(H14/$B$7)*10)</f>
        <v>8.42105263157895</v>
      </c>
      <c r="W14" s="17" t="n">
        <f aca="false">MAX(0,15-(P14/$B$8)*15)</f>
        <v>0</v>
      </c>
      <c r="X14" s="17" t="n">
        <f aca="false">(J14/10)*5</f>
        <v>3</v>
      </c>
      <c r="Y14" s="17" t="n">
        <f aca="false">SUM(Q14:X14)</f>
        <v>51.4649122807018</v>
      </c>
      <c r="Z14" s="17" t="n">
        <f aca="false">K14*10+L14*15+IF(M14="S",30,0)</f>
        <v>15</v>
      </c>
      <c r="AA14" s="17" t="n">
        <f aca="false">MAX(0,Y14-Z14)</f>
        <v>36.4649122807018</v>
      </c>
      <c r="AB14" s="18" t="str">
        <f aca="false">IF(OR(K14&gt;0,M14="S"),"NAO",IF(AA14&lt;60,"NAO (abaixo do minimo)","SIM"))</f>
        <v>NAO (abaixo do minimo)</v>
      </c>
      <c r="AC14" s="18" t="n">
        <f aca="false">RANK(AA14,$AA$12:$AA$21)</f>
        <v>3</v>
      </c>
      <c r="AD14" s="18" t="str">
        <f aca="false">IF(AA14&gt;=90,"OURO",IF(AA14&gt;=80,"PRATA",IF(AA14&gt;=70,"BRONZE","-")))</f>
        <v>-</v>
      </c>
    </row>
    <row r="15" customFormat="false" ht="23.85" hidden="false" customHeight="false" outlineLevel="0" collapsed="false">
      <c r="A15" s="19"/>
      <c r="B15" s="21"/>
      <c r="C15" s="21"/>
      <c r="D15" s="21"/>
      <c r="E15" s="21"/>
      <c r="F15" s="21"/>
      <c r="G15" s="21"/>
      <c r="H15" s="22"/>
      <c r="I15" s="21"/>
      <c r="J15" s="21"/>
      <c r="K15" s="21"/>
      <c r="L15" s="21"/>
      <c r="M15" s="21"/>
      <c r="N15" s="23" t="n">
        <f aca="false">IF(B15=0,0,C15/B15)</f>
        <v>0</v>
      </c>
      <c r="O15" s="23" t="n">
        <f aca="false">IF(B15=0,0,D15/B15)</f>
        <v>0</v>
      </c>
      <c r="P15" s="23" t="n">
        <f aca="false">IF(B15=0,0,I15/B15)</f>
        <v>0</v>
      </c>
      <c r="Q15" s="24" t="n">
        <f aca="false">MIN(20,(N15/$B$5)*20)</f>
        <v>0</v>
      </c>
      <c r="R15" s="24" t="n">
        <f aca="false">MAX(0,15-(O15/$B$6)*15)</f>
        <v>15</v>
      </c>
      <c r="S15" s="24" t="n">
        <f aca="false">(E15/10)*10</f>
        <v>0</v>
      </c>
      <c r="T15" s="24" t="n">
        <f aca="false">(F15/10)*15</f>
        <v>0</v>
      </c>
      <c r="U15" s="24" t="n">
        <f aca="false">(G15/10)*10</f>
        <v>0</v>
      </c>
      <c r="V15" s="24" t="n">
        <f aca="false">MIN(10,(H15/$B$7)*10)</f>
        <v>0</v>
      </c>
      <c r="W15" s="24" t="n">
        <f aca="false">MAX(0,15-(P15/$B$8)*15)</f>
        <v>15</v>
      </c>
      <c r="X15" s="24" t="n">
        <f aca="false">(J15/10)*5</f>
        <v>0</v>
      </c>
      <c r="Y15" s="24" t="n">
        <f aca="false">SUM(Q15:X15)</f>
        <v>30</v>
      </c>
      <c r="Z15" s="24" t="n">
        <f aca="false">K15*10+L15*15+IF(M15="S",30,0)</f>
        <v>0</v>
      </c>
      <c r="AA15" s="24" t="n">
        <f aca="false">MAX(0,Y15-Z15)</f>
        <v>30</v>
      </c>
      <c r="AB15" s="25" t="str">
        <f aca="false">IF(OR(K15&gt;0,M15="S"),"NAO",IF(AA15&lt;60,"NAO (abaixo do minimo)","SIM"))</f>
        <v>NAO (abaixo do minimo)</v>
      </c>
      <c r="AC15" s="25" t="n">
        <f aca="false">RANK(AA15,$AA$12:$AA$21)</f>
        <v>4</v>
      </c>
      <c r="AD15" s="25" t="str">
        <f aca="false">IF(AA15&gt;=90,"OURO",IF(AA15&gt;=80,"PRATA",IF(AA15&gt;=70,"BRONZE","-")))</f>
        <v>-</v>
      </c>
    </row>
    <row r="16" customFormat="false" ht="23.85" hidden="false" customHeight="false" outlineLevel="0" collapsed="false">
      <c r="A16" s="19"/>
      <c r="B16" s="21"/>
      <c r="C16" s="21"/>
      <c r="D16" s="21"/>
      <c r="E16" s="21"/>
      <c r="F16" s="21"/>
      <c r="G16" s="21"/>
      <c r="H16" s="22"/>
      <c r="I16" s="21"/>
      <c r="J16" s="21"/>
      <c r="K16" s="21"/>
      <c r="L16" s="21"/>
      <c r="M16" s="21"/>
      <c r="N16" s="23" t="n">
        <f aca="false">IF(B16=0,0,C16/B16)</f>
        <v>0</v>
      </c>
      <c r="O16" s="23" t="n">
        <f aca="false">IF(B16=0,0,D16/B16)</f>
        <v>0</v>
      </c>
      <c r="P16" s="23" t="n">
        <f aca="false">IF(B16=0,0,I16/B16)</f>
        <v>0</v>
      </c>
      <c r="Q16" s="24" t="n">
        <f aca="false">MIN(20,(N16/$B$5)*20)</f>
        <v>0</v>
      </c>
      <c r="R16" s="24" t="n">
        <f aca="false">MAX(0,15-(O16/$B$6)*15)</f>
        <v>15</v>
      </c>
      <c r="S16" s="24" t="n">
        <f aca="false">(E16/10)*10</f>
        <v>0</v>
      </c>
      <c r="T16" s="24" t="n">
        <f aca="false">(F16/10)*15</f>
        <v>0</v>
      </c>
      <c r="U16" s="24" t="n">
        <f aca="false">(G16/10)*10</f>
        <v>0</v>
      </c>
      <c r="V16" s="24" t="n">
        <f aca="false">MIN(10,(H16/$B$7)*10)</f>
        <v>0</v>
      </c>
      <c r="W16" s="24" t="n">
        <f aca="false">MAX(0,15-(P16/$B$8)*15)</f>
        <v>15</v>
      </c>
      <c r="X16" s="24" t="n">
        <f aca="false">(J16/10)*5</f>
        <v>0</v>
      </c>
      <c r="Y16" s="24" t="n">
        <f aca="false">SUM(Q16:X16)</f>
        <v>30</v>
      </c>
      <c r="Z16" s="24" t="n">
        <f aca="false">K16*10+L16*15+IF(M16="S",30,0)</f>
        <v>0</v>
      </c>
      <c r="AA16" s="24" t="n">
        <f aca="false">MAX(0,Y16-Z16)</f>
        <v>30</v>
      </c>
      <c r="AB16" s="25" t="str">
        <f aca="false">IF(OR(K16&gt;0,M16="S"),"NAO",IF(AA16&lt;60,"NAO (abaixo do minimo)","SIM"))</f>
        <v>NAO (abaixo do minimo)</v>
      </c>
      <c r="AC16" s="25" t="n">
        <f aca="false">RANK(AA16,$AA$12:$AA$21)</f>
        <v>4</v>
      </c>
      <c r="AD16" s="25" t="str">
        <f aca="false">IF(AA16&gt;=90,"OURO",IF(AA16&gt;=80,"PRATA",IF(AA16&gt;=70,"BRONZE","-")))</f>
        <v>-</v>
      </c>
    </row>
    <row r="17" customFormat="false" ht="23.85" hidden="false" customHeight="false" outlineLevel="0" collapsed="false">
      <c r="A17" s="19"/>
      <c r="B17" s="21"/>
      <c r="C17" s="21"/>
      <c r="D17" s="21"/>
      <c r="E17" s="21"/>
      <c r="F17" s="21"/>
      <c r="G17" s="21"/>
      <c r="H17" s="22"/>
      <c r="I17" s="21"/>
      <c r="J17" s="21"/>
      <c r="K17" s="21"/>
      <c r="L17" s="21"/>
      <c r="M17" s="21"/>
      <c r="N17" s="23" t="n">
        <f aca="false">IF(B17=0,0,C17/B17)</f>
        <v>0</v>
      </c>
      <c r="O17" s="23" t="n">
        <f aca="false">IF(B17=0,0,D17/B17)</f>
        <v>0</v>
      </c>
      <c r="P17" s="23" t="n">
        <f aca="false">IF(B17=0,0,I17/B17)</f>
        <v>0</v>
      </c>
      <c r="Q17" s="24" t="n">
        <f aca="false">MIN(20,(N17/$B$5)*20)</f>
        <v>0</v>
      </c>
      <c r="R17" s="24" t="n">
        <f aca="false">MAX(0,15-(O17/$B$6)*15)</f>
        <v>15</v>
      </c>
      <c r="S17" s="24" t="n">
        <f aca="false">(E17/10)*10</f>
        <v>0</v>
      </c>
      <c r="T17" s="24" t="n">
        <f aca="false">(F17/10)*15</f>
        <v>0</v>
      </c>
      <c r="U17" s="24" t="n">
        <f aca="false">(G17/10)*10</f>
        <v>0</v>
      </c>
      <c r="V17" s="24" t="n">
        <f aca="false">MIN(10,(H17/$B$7)*10)</f>
        <v>0</v>
      </c>
      <c r="W17" s="24" t="n">
        <f aca="false">MAX(0,15-(P17/$B$8)*15)</f>
        <v>15</v>
      </c>
      <c r="X17" s="24" t="n">
        <f aca="false">(J17/10)*5</f>
        <v>0</v>
      </c>
      <c r="Y17" s="24" t="n">
        <f aca="false">SUM(Q17:X17)</f>
        <v>30</v>
      </c>
      <c r="Z17" s="24" t="n">
        <f aca="false">K17*10+L17*15+IF(M17="S",30,0)</f>
        <v>0</v>
      </c>
      <c r="AA17" s="24" t="n">
        <f aca="false">MAX(0,Y17-Z17)</f>
        <v>30</v>
      </c>
      <c r="AB17" s="25" t="str">
        <f aca="false">IF(OR(K17&gt;0,M17="S"),"NAO",IF(AA17&lt;60,"NAO (abaixo do minimo)","SIM"))</f>
        <v>NAO (abaixo do minimo)</v>
      </c>
      <c r="AC17" s="25" t="n">
        <f aca="false">RANK(AA17,$AA$12:$AA$21)</f>
        <v>4</v>
      </c>
      <c r="AD17" s="25" t="str">
        <f aca="false">IF(AA17&gt;=90,"OURO",IF(AA17&gt;=80,"PRATA",IF(AA17&gt;=70,"BRONZE","-")))</f>
        <v>-</v>
      </c>
    </row>
    <row r="18" customFormat="false" ht="23.85" hidden="false" customHeight="false" outlineLevel="0" collapsed="false">
      <c r="A18" s="19"/>
      <c r="B18" s="21"/>
      <c r="C18" s="21"/>
      <c r="D18" s="21"/>
      <c r="E18" s="21"/>
      <c r="F18" s="21"/>
      <c r="G18" s="21"/>
      <c r="H18" s="22"/>
      <c r="I18" s="21"/>
      <c r="J18" s="21"/>
      <c r="K18" s="21"/>
      <c r="L18" s="21"/>
      <c r="M18" s="21"/>
      <c r="N18" s="23" t="n">
        <f aca="false">IF(B18=0,0,C18/B18)</f>
        <v>0</v>
      </c>
      <c r="O18" s="23" t="n">
        <f aca="false">IF(B18=0,0,D18/B18)</f>
        <v>0</v>
      </c>
      <c r="P18" s="23" t="n">
        <f aca="false">IF(B18=0,0,I18/B18)</f>
        <v>0</v>
      </c>
      <c r="Q18" s="24" t="n">
        <f aca="false">MIN(20,(N18/$B$5)*20)</f>
        <v>0</v>
      </c>
      <c r="R18" s="24" t="n">
        <f aca="false">MAX(0,15-(O18/$B$6)*15)</f>
        <v>15</v>
      </c>
      <c r="S18" s="24" t="n">
        <f aca="false">(E18/10)*10</f>
        <v>0</v>
      </c>
      <c r="T18" s="24" t="n">
        <f aca="false">(F18/10)*15</f>
        <v>0</v>
      </c>
      <c r="U18" s="24" t="n">
        <f aca="false">(G18/10)*10</f>
        <v>0</v>
      </c>
      <c r="V18" s="24" t="n">
        <f aca="false">MIN(10,(H18/$B$7)*10)</f>
        <v>0</v>
      </c>
      <c r="W18" s="24" t="n">
        <f aca="false">MAX(0,15-(P18/$B$8)*15)</f>
        <v>15</v>
      </c>
      <c r="X18" s="24" t="n">
        <f aca="false">(J18/10)*5</f>
        <v>0</v>
      </c>
      <c r="Y18" s="24" t="n">
        <f aca="false">SUM(Q18:X18)</f>
        <v>30</v>
      </c>
      <c r="Z18" s="24" t="n">
        <f aca="false">K18*10+L18*15+IF(M18="S",30,0)</f>
        <v>0</v>
      </c>
      <c r="AA18" s="24" t="n">
        <f aca="false">MAX(0,Y18-Z18)</f>
        <v>30</v>
      </c>
      <c r="AB18" s="25" t="str">
        <f aca="false">IF(OR(K18&gt;0,M18="S"),"NAO",IF(AA18&lt;60,"NAO (abaixo do minimo)","SIM"))</f>
        <v>NAO (abaixo do minimo)</v>
      </c>
      <c r="AC18" s="25" t="n">
        <f aca="false">RANK(AA18,$AA$12:$AA$21)</f>
        <v>4</v>
      </c>
      <c r="AD18" s="25" t="str">
        <f aca="false">IF(AA18&gt;=90,"OURO",IF(AA18&gt;=80,"PRATA",IF(AA18&gt;=70,"BRONZE","-")))</f>
        <v>-</v>
      </c>
    </row>
    <row r="19" customFormat="false" ht="23.85" hidden="false" customHeight="false" outlineLevel="0" collapsed="false">
      <c r="A19" s="19"/>
      <c r="B19" s="21"/>
      <c r="C19" s="21"/>
      <c r="D19" s="21"/>
      <c r="E19" s="21"/>
      <c r="F19" s="21"/>
      <c r="G19" s="21"/>
      <c r="H19" s="22"/>
      <c r="I19" s="21"/>
      <c r="J19" s="21"/>
      <c r="K19" s="21"/>
      <c r="L19" s="21"/>
      <c r="M19" s="21"/>
      <c r="N19" s="23" t="n">
        <f aca="false">IF(B19=0,0,C19/B19)</f>
        <v>0</v>
      </c>
      <c r="O19" s="23" t="n">
        <f aca="false">IF(B19=0,0,D19/B19)</f>
        <v>0</v>
      </c>
      <c r="P19" s="23" t="n">
        <f aca="false">IF(B19=0,0,I19/B19)</f>
        <v>0</v>
      </c>
      <c r="Q19" s="24" t="n">
        <f aca="false">MIN(20,(N19/$B$5)*20)</f>
        <v>0</v>
      </c>
      <c r="R19" s="24" t="n">
        <f aca="false">MAX(0,15-(O19/$B$6)*15)</f>
        <v>15</v>
      </c>
      <c r="S19" s="24" t="n">
        <f aca="false">(E19/10)*10</f>
        <v>0</v>
      </c>
      <c r="T19" s="24" t="n">
        <f aca="false">(F19/10)*15</f>
        <v>0</v>
      </c>
      <c r="U19" s="24" t="n">
        <f aca="false">(G19/10)*10</f>
        <v>0</v>
      </c>
      <c r="V19" s="24" t="n">
        <f aca="false">MIN(10,(H19/$B$7)*10)</f>
        <v>0</v>
      </c>
      <c r="W19" s="24" t="n">
        <f aca="false">MAX(0,15-(P19/$B$8)*15)</f>
        <v>15</v>
      </c>
      <c r="X19" s="24" t="n">
        <f aca="false">(J19/10)*5</f>
        <v>0</v>
      </c>
      <c r="Y19" s="24" t="n">
        <f aca="false">SUM(Q19:X19)</f>
        <v>30</v>
      </c>
      <c r="Z19" s="24" t="n">
        <f aca="false">K19*10+L19*15+IF(M19="S",30,0)</f>
        <v>0</v>
      </c>
      <c r="AA19" s="24" t="n">
        <f aca="false">MAX(0,Y19-Z19)</f>
        <v>30</v>
      </c>
      <c r="AB19" s="25" t="str">
        <f aca="false">IF(OR(K19&gt;0,M19="S"),"NAO",IF(AA19&lt;60,"NAO (abaixo do minimo)","SIM"))</f>
        <v>NAO (abaixo do minimo)</v>
      </c>
      <c r="AC19" s="25" t="n">
        <f aca="false">RANK(AA19,$AA$12:$AA$21)</f>
        <v>4</v>
      </c>
      <c r="AD19" s="25" t="str">
        <f aca="false">IF(AA19&gt;=90,"OURO",IF(AA19&gt;=80,"PRATA",IF(AA19&gt;=70,"BRONZE","-")))</f>
        <v>-</v>
      </c>
    </row>
    <row r="20" customFormat="false" ht="23.85" hidden="false" customHeight="false" outlineLevel="0" collapsed="false">
      <c r="A20" s="19"/>
      <c r="B20" s="21"/>
      <c r="C20" s="21"/>
      <c r="D20" s="21"/>
      <c r="E20" s="21"/>
      <c r="F20" s="21"/>
      <c r="G20" s="21"/>
      <c r="H20" s="22"/>
      <c r="I20" s="21"/>
      <c r="J20" s="21"/>
      <c r="K20" s="21"/>
      <c r="L20" s="21"/>
      <c r="M20" s="21"/>
      <c r="N20" s="23" t="n">
        <f aca="false">IF(B20=0,0,C20/B20)</f>
        <v>0</v>
      </c>
      <c r="O20" s="23" t="n">
        <f aca="false">IF(B20=0,0,D20/B20)</f>
        <v>0</v>
      </c>
      <c r="P20" s="23" t="n">
        <f aca="false">IF(B20=0,0,I20/B20)</f>
        <v>0</v>
      </c>
      <c r="Q20" s="24" t="n">
        <f aca="false">MIN(20,(N20/$B$5)*20)</f>
        <v>0</v>
      </c>
      <c r="R20" s="24" t="n">
        <f aca="false">MAX(0,15-(O20/$B$6)*15)</f>
        <v>15</v>
      </c>
      <c r="S20" s="24" t="n">
        <f aca="false">(E20/10)*10</f>
        <v>0</v>
      </c>
      <c r="T20" s="24" t="n">
        <f aca="false">(F20/10)*15</f>
        <v>0</v>
      </c>
      <c r="U20" s="24" t="n">
        <f aca="false">(G20/10)*10</f>
        <v>0</v>
      </c>
      <c r="V20" s="24" t="n">
        <f aca="false">MIN(10,(H20/$B$7)*10)</f>
        <v>0</v>
      </c>
      <c r="W20" s="24" t="n">
        <f aca="false">MAX(0,15-(P20/$B$8)*15)</f>
        <v>15</v>
      </c>
      <c r="X20" s="24" t="n">
        <f aca="false">(J20/10)*5</f>
        <v>0</v>
      </c>
      <c r="Y20" s="24" t="n">
        <f aca="false">SUM(Q20:X20)</f>
        <v>30</v>
      </c>
      <c r="Z20" s="24" t="n">
        <f aca="false">K20*10+L20*15+IF(M20="S",30,0)</f>
        <v>0</v>
      </c>
      <c r="AA20" s="24" t="n">
        <f aca="false">MAX(0,Y20-Z20)</f>
        <v>30</v>
      </c>
      <c r="AB20" s="25" t="str">
        <f aca="false">IF(OR(K20&gt;0,M20="S"),"NAO",IF(AA20&lt;60,"NAO (abaixo do minimo)","SIM"))</f>
        <v>NAO (abaixo do minimo)</v>
      </c>
      <c r="AC20" s="25" t="n">
        <f aca="false">RANK(AA20,$AA$12:$AA$21)</f>
        <v>4</v>
      </c>
      <c r="AD20" s="25" t="str">
        <f aca="false">IF(AA20&gt;=90,"OURO",IF(AA20&gt;=80,"PRATA",IF(AA20&gt;=70,"BRONZE","-")))</f>
        <v>-</v>
      </c>
    </row>
    <row r="21" customFormat="false" ht="23.85" hidden="false" customHeight="false" outlineLevel="0" collapsed="false">
      <c r="A21" s="19"/>
      <c r="B21" s="21"/>
      <c r="C21" s="21"/>
      <c r="D21" s="21"/>
      <c r="E21" s="21"/>
      <c r="F21" s="21"/>
      <c r="G21" s="21"/>
      <c r="H21" s="22"/>
      <c r="I21" s="21"/>
      <c r="J21" s="21"/>
      <c r="K21" s="21"/>
      <c r="L21" s="21"/>
      <c r="M21" s="21"/>
      <c r="N21" s="23" t="n">
        <f aca="false">IF(B21=0,0,C21/B21)</f>
        <v>0</v>
      </c>
      <c r="O21" s="23" t="n">
        <f aca="false">IF(B21=0,0,D21/B21)</f>
        <v>0</v>
      </c>
      <c r="P21" s="23" t="n">
        <f aca="false">IF(B21=0,0,I21/B21)</f>
        <v>0</v>
      </c>
      <c r="Q21" s="24" t="n">
        <f aca="false">MIN(20,(N21/$B$5)*20)</f>
        <v>0</v>
      </c>
      <c r="R21" s="24" t="n">
        <f aca="false">MAX(0,15-(O21/$B$6)*15)</f>
        <v>15</v>
      </c>
      <c r="S21" s="24" t="n">
        <f aca="false">(E21/10)*10</f>
        <v>0</v>
      </c>
      <c r="T21" s="24" t="n">
        <f aca="false">(F21/10)*15</f>
        <v>0</v>
      </c>
      <c r="U21" s="24" t="n">
        <f aca="false">(G21/10)*10</f>
        <v>0</v>
      </c>
      <c r="V21" s="24" t="n">
        <f aca="false">MIN(10,(H21/$B$7)*10)</f>
        <v>0</v>
      </c>
      <c r="W21" s="24" t="n">
        <f aca="false">MAX(0,15-(P21/$B$8)*15)</f>
        <v>15</v>
      </c>
      <c r="X21" s="24" t="n">
        <f aca="false">(J21/10)*5</f>
        <v>0</v>
      </c>
      <c r="Y21" s="24" t="n">
        <f aca="false">SUM(Q21:X21)</f>
        <v>30</v>
      </c>
      <c r="Z21" s="24" t="n">
        <f aca="false">K21*10+L21*15+IF(M21="S",30,0)</f>
        <v>0</v>
      </c>
      <c r="AA21" s="24" t="n">
        <f aca="false">MAX(0,Y21-Z21)</f>
        <v>30</v>
      </c>
      <c r="AB21" s="25" t="str">
        <f aca="false">IF(OR(K21&gt;0,M21="S"),"NAO",IF(AA21&lt;60,"NAO (abaixo do minimo)","SIM"))</f>
        <v>NAO (abaixo do minimo)</v>
      </c>
      <c r="AC21" s="25" t="n">
        <f aca="false">RANK(AA21,$AA$12:$AA$21)</f>
        <v>4</v>
      </c>
      <c r="AD21" s="25" t="str">
        <f aca="false">IF(AA21&gt;=90,"OURO",IF(AA21&gt;=80,"PRATA",IF(AA21&gt;=70,"BRONZE","-")))</f>
        <v>-</v>
      </c>
    </row>
  </sheetData>
  <mergeCells count="3">
    <mergeCell ref="A1:AD1"/>
    <mergeCell ref="A2:AD2"/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11" min="3" style="0" width="10"/>
    <col collapsed="false" customWidth="true" hidden="false" outlineLevel="0" max="23" min="12" style="0" width="9"/>
    <col collapsed="false" customWidth="true" hidden="false" outlineLevel="0" max="24" min="24" style="0" width="10"/>
    <col collapsed="false" customWidth="true" hidden="false" outlineLevel="0" max="26" min="25" style="0" width="9"/>
    <col collapsed="false" customWidth="true" hidden="false" outlineLevel="0" max="27" min="27" style="0" width="12"/>
    <col collapsed="false" customWidth="true" hidden="false" outlineLevel="0" max="28" min="28" style="0" width="8"/>
    <col collapsed="false" customWidth="true" hidden="false" outlineLevel="0" max="29" min="29" style="0" width="11"/>
  </cols>
  <sheetData>
    <row r="1" customFormat="false" ht="25.5" hidden="false" customHeight="true" outlineLevel="0" collapsed="false">
      <c r="A1" s="4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19.5" hidden="false" customHeight="true" outlineLevel="0" collapsed="false">
      <c r="A2" s="5" t="s">
        <v>109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4" customFormat="false" ht="39.75" hidden="false" customHeight="true" outlineLevel="0" collapsed="false">
      <c r="A4" s="11" t="s">
        <v>110</v>
      </c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11" t="s">
        <v>116</v>
      </c>
      <c r="H4" s="11" t="s">
        <v>117</v>
      </c>
      <c r="I4" s="11" t="s">
        <v>118</v>
      </c>
      <c r="J4" s="11" t="s">
        <v>119</v>
      </c>
      <c r="K4" s="11" t="s">
        <v>120</v>
      </c>
      <c r="L4" s="11" t="s">
        <v>32</v>
      </c>
      <c r="M4" s="11" t="s">
        <v>33</v>
      </c>
      <c r="N4" s="11" t="s">
        <v>34</v>
      </c>
      <c r="O4" s="11" t="s">
        <v>121</v>
      </c>
      <c r="P4" s="11" t="s">
        <v>122</v>
      </c>
      <c r="Q4" s="11" t="s">
        <v>123</v>
      </c>
      <c r="R4" s="11" t="s">
        <v>124</v>
      </c>
      <c r="S4" s="11" t="s">
        <v>125</v>
      </c>
      <c r="T4" s="11" t="s">
        <v>126</v>
      </c>
      <c r="U4" s="11" t="s">
        <v>127</v>
      </c>
      <c r="V4" s="11" t="s">
        <v>128</v>
      </c>
      <c r="W4" s="11" t="s">
        <v>129</v>
      </c>
      <c r="X4" s="11" t="s">
        <v>44</v>
      </c>
      <c r="Y4" s="11" t="s">
        <v>45</v>
      </c>
      <c r="Z4" s="11" t="s">
        <v>46</v>
      </c>
      <c r="AA4" s="11" t="s">
        <v>47</v>
      </c>
      <c r="AB4" s="11" t="s">
        <v>48</v>
      </c>
      <c r="AC4" s="11" t="s">
        <v>49</v>
      </c>
    </row>
    <row r="5" customFormat="false" ht="15" hidden="false" customHeight="false" outlineLevel="0" collapsed="false">
      <c r="A5" s="12" t="s">
        <v>50</v>
      </c>
      <c r="B5" s="14" t="s">
        <v>130</v>
      </c>
      <c r="C5" s="14" t="n">
        <v>9</v>
      </c>
      <c r="D5" s="14" t="n">
        <v>9</v>
      </c>
      <c r="E5" s="14" t="n">
        <v>9</v>
      </c>
      <c r="F5" s="14" t="n">
        <v>10</v>
      </c>
      <c r="G5" s="14" t="n">
        <v>9</v>
      </c>
      <c r="H5" s="14" t="n">
        <v>8</v>
      </c>
      <c r="I5" s="14" t="n">
        <v>10</v>
      </c>
      <c r="J5" s="14" t="n">
        <v>9</v>
      </c>
      <c r="K5" s="14" t="n">
        <v>9</v>
      </c>
      <c r="L5" s="14" t="n">
        <v>0</v>
      </c>
      <c r="M5" s="14" t="n">
        <v>0</v>
      </c>
      <c r="N5" s="14" t="s">
        <v>51</v>
      </c>
      <c r="O5" s="17" t="n">
        <f aca="false">(C5/10)*15</f>
        <v>13.5</v>
      </c>
      <c r="P5" s="17" t="n">
        <f aca="false">(D5/10)*10</f>
        <v>9</v>
      </c>
      <c r="Q5" s="17" t="n">
        <f aca="false">(E5/10)*10</f>
        <v>9</v>
      </c>
      <c r="R5" s="17" t="n">
        <f aca="false">(F5/10)*15</f>
        <v>15</v>
      </c>
      <c r="S5" s="17" t="n">
        <f aca="false">(G5/10)*15</f>
        <v>13.5</v>
      </c>
      <c r="T5" s="17" t="n">
        <f aca="false">(H5/10)*10</f>
        <v>8</v>
      </c>
      <c r="U5" s="17" t="n">
        <f aca="false">(I5/10)*10</f>
        <v>10</v>
      </c>
      <c r="V5" s="17" t="n">
        <f aca="false">(J5/10)*10</f>
        <v>9</v>
      </c>
      <c r="W5" s="17" t="n">
        <f aca="false">(K5/10)*5</f>
        <v>4.5</v>
      </c>
      <c r="X5" s="17" t="n">
        <f aca="false">SUM(O5:W5)</f>
        <v>91.5</v>
      </c>
      <c r="Y5" s="17" t="n">
        <f aca="false">L5*10+M5*15+IF(N5="S",30,0)</f>
        <v>0</v>
      </c>
      <c r="Z5" s="17" t="n">
        <f aca="false">MAX(0,X5-Y5)</f>
        <v>91.5</v>
      </c>
      <c r="AA5" s="18" t="str">
        <f aca="false">IF(OR(L5&gt;0,N5="S"),"NAO",IF(Z5&lt;60,"NAO (abaixo do minimo)","SIM"))</f>
        <v>SIM</v>
      </c>
      <c r="AB5" s="18" t="n">
        <f aca="false">RANK(Z5,$Z$5:$Z$14)</f>
        <v>1</v>
      </c>
      <c r="AC5" s="18" t="str">
        <f aca="false">IF(Z5&gt;=90,"OURO",IF(Z5&gt;=80,"PRATA",IF(Z5&gt;=70,"BRONZE","-")))</f>
        <v>OURO</v>
      </c>
    </row>
    <row r="6" customFormat="false" ht="15" hidden="false" customHeight="false" outlineLevel="0" collapsed="false">
      <c r="A6" s="12" t="s">
        <v>78</v>
      </c>
      <c r="B6" s="14" t="s">
        <v>131</v>
      </c>
      <c r="C6" s="14" t="n">
        <v>9</v>
      </c>
      <c r="D6" s="14" t="n">
        <v>8</v>
      </c>
      <c r="E6" s="14" t="n">
        <v>9</v>
      </c>
      <c r="F6" s="14" t="n">
        <v>9</v>
      </c>
      <c r="G6" s="14" t="n">
        <v>10</v>
      </c>
      <c r="H6" s="14" t="n">
        <v>9</v>
      </c>
      <c r="I6" s="14" t="n">
        <v>7</v>
      </c>
      <c r="J6" s="14" t="n">
        <v>8</v>
      </c>
      <c r="K6" s="14" t="n">
        <v>8</v>
      </c>
      <c r="L6" s="14" t="n">
        <v>0</v>
      </c>
      <c r="M6" s="14" t="n">
        <v>0</v>
      </c>
      <c r="N6" s="14" t="s">
        <v>51</v>
      </c>
      <c r="O6" s="17" t="n">
        <f aca="false">(C6/10)*15</f>
        <v>13.5</v>
      </c>
      <c r="P6" s="17" t="n">
        <f aca="false">(D6/10)*10</f>
        <v>8</v>
      </c>
      <c r="Q6" s="17" t="n">
        <f aca="false">(E6/10)*10</f>
        <v>9</v>
      </c>
      <c r="R6" s="17" t="n">
        <f aca="false">(F6/10)*15</f>
        <v>13.5</v>
      </c>
      <c r="S6" s="17" t="n">
        <f aca="false">(G6/10)*15</f>
        <v>15</v>
      </c>
      <c r="T6" s="17" t="n">
        <f aca="false">(H6/10)*10</f>
        <v>9</v>
      </c>
      <c r="U6" s="17" t="n">
        <f aca="false">(I6/10)*10</f>
        <v>7</v>
      </c>
      <c r="V6" s="17" t="n">
        <f aca="false">(J6/10)*10</f>
        <v>8</v>
      </c>
      <c r="W6" s="17" t="n">
        <f aca="false">(K6/10)*5</f>
        <v>4</v>
      </c>
      <c r="X6" s="17" t="n">
        <f aca="false">SUM(O6:W6)</f>
        <v>87</v>
      </c>
      <c r="Y6" s="17" t="n">
        <f aca="false">L6*10+M6*15+IF(N6="S",30,0)</f>
        <v>0</v>
      </c>
      <c r="Z6" s="17" t="n">
        <f aca="false">MAX(0,X6-Y6)</f>
        <v>87</v>
      </c>
      <c r="AA6" s="18" t="str">
        <f aca="false">IF(OR(L6&gt;0,N6="S"),"NAO",IF(Z6&lt;60,"NAO (abaixo do minimo)","SIM"))</f>
        <v>SIM</v>
      </c>
      <c r="AB6" s="18" t="n">
        <f aca="false">RANK(Z6,$Z$5:$Z$14)</f>
        <v>2</v>
      </c>
      <c r="AC6" s="18" t="str">
        <f aca="false">IF(Z6&gt;=90,"OURO",IF(Z6&gt;=80,"PRATA",IF(Z6&gt;=70,"BRONZE","-")))</f>
        <v>PRATA</v>
      </c>
    </row>
    <row r="7" customFormat="false" ht="15" hidden="false" customHeight="false" outlineLevel="0" collapsed="false">
      <c r="A7" s="12" t="s">
        <v>105</v>
      </c>
      <c r="B7" s="14" t="s">
        <v>132</v>
      </c>
      <c r="C7" s="14" t="n">
        <v>8</v>
      </c>
      <c r="D7" s="14" t="n">
        <v>10</v>
      </c>
      <c r="E7" s="14" t="n">
        <v>9</v>
      </c>
      <c r="F7" s="14" t="n">
        <v>8</v>
      </c>
      <c r="G7" s="14" t="n">
        <v>8</v>
      </c>
      <c r="H7" s="14" t="n">
        <v>7</v>
      </c>
      <c r="I7" s="14" t="n">
        <v>9</v>
      </c>
      <c r="J7" s="14" t="n">
        <v>9</v>
      </c>
      <c r="K7" s="14" t="n">
        <v>7</v>
      </c>
      <c r="L7" s="14" t="n">
        <v>0</v>
      </c>
      <c r="M7" s="14" t="n">
        <v>0</v>
      </c>
      <c r="N7" s="14" t="s">
        <v>51</v>
      </c>
      <c r="O7" s="17" t="n">
        <f aca="false">(C7/10)*15</f>
        <v>12</v>
      </c>
      <c r="P7" s="17" t="n">
        <f aca="false">(D7/10)*10</f>
        <v>10</v>
      </c>
      <c r="Q7" s="17" t="n">
        <f aca="false">(E7/10)*10</f>
        <v>9</v>
      </c>
      <c r="R7" s="17" t="n">
        <f aca="false">(F7/10)*15</f>
        <v>12</v>
      </c>
      <c r="S7" s="17" t="n">
        <f aca="false">(G7/10)*15</f>
        <v>12</v>
      </c>
      <c r="T7" s="17" t="n">
        <f aca="false">(H7/10)*10</f>
        <v>7</v>
      </c>
      <c r="U7" s="17" t="n">
        <f aca="false">(I7/10)*10</f>
        <v>9</v>
      </c>
      <c r="V7" s="17" t="n">
        <f aca="false">(J7/10)*10</f>
        <v>9</v>
      </c>
      <c r="W7" s="17" t="n">
        <f aca="false">(K7/10)*5</f>
        <v>3.5</v>
      </c>
      <c r="X7" s="17" t="n">
        <f aca="false">SUM(O7:W7)</f>
        <v>83.5</v>
      </c>
      <c r="Y7" s="17" t="n">
        <f aca="false">L7*10+M7*15+IF(N7="S",30,0)</f>
        <v>0</v>
      </c>
      <c r="Z7" s="17" t="n">
        <f aca="false">MAX(0,X7-Y7)</f>
        <v>83.5</v>
      </c>
      <c r="AA7" s="18" t="str">
        <f aca="false">IF(OR(L7&gt;0,N7="S"),"NAO",IF(Z7&lt;60,"NAO (abaixo do minimo)","SIM"))</f>
        <v>SIM</v>
      </c>
      <c r="AB7" s="18" t="n">
        <f aca="false">RANK(Z7,$Z$5:$Z$14)</f>
        <v>3</v>
      </c>
      <c r="AC7" s="18" t="str">
        <f aca="false">IF(Z7&gt;=90,"OURO",IF(Z7&gt;=80,"PRATA",IF(Z7&gt;=70,"BRONZE","-")))</f>
        <v>PRATA</v>
      </c>
    </row>
    <row r="8" customFormat="false" ht="23.85" hidden="false" customHeight="false" outlineLevel="0" collapsed="false">
      <c r="A8" s="19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4" t="n">
        <f aca="false">(C8/10)*15</f>
        <v>0</v>
      </c>
      <c r="P8" s="24" t="n">
        <f aca="false">(D8/10)*10</f>
        <v>0</v>
      </c>
      <c r="Q8" s="24" t="n">
        <f aca="false">(E8/10)*10</f>
        <v>0</v>
      </c>
      <c r="R8" s="24" t="n">
        <f aca="false">(F8/10)*15</f>
        <v>0</v>
      </c>
      <c r="S8" s="24" t="n">
        <f aca="false">(G8/10)*15</f>
        <v>0</v>
      </c>
      <c r="T8" s="24" t="n">
        <f aca="false">(H8/10)*10</f>
        <v>0</v>
      </c>
      <c r="U8" s="24" t="n">
        <f aca="false">(I8/10)*10</f>
        <v>0</v>
      </c>
      <c r="V8" s="24" t="n">
        <f aca="false">(J8/10)*10</f>
        <v>0</v>
      </c>
      <c r="W8" s="24" t="n">
        <f aca="false">(K8/10)*5</f>
        <v>0</v>
      </c>
      <c r="X8" s="24" t="n">
        <f aca="false">SUM(O8:W8)</f>
        <v>0</v>
      </c>
      <c r="Y8" s="24" t="n">
        <f aca="false">L8*10+M8*15+IF(N8="S",30,0)</f>
        <v>0</v>
      </c>
      <c r="Z8" s="24" t="n">
        <f aca="false">MAX(0,X8-Y8)</f>
        <v>0</v>
      </c>
      <c r="AA8" s="25" t="str">
        <f aca="false">IF(OR(L8&gt;0,N8="S"),"NAO",IF(Z8&lt;60,"NAO (abaixo do minimo)","SIM"))</f>
        <v>NAO (abaixo do minimo)</v>
      </c>
      <c r="AB8" s="25" t="n">
        <f aca="false">RANK(Z8,$Z$5:$Z$14)</f>
        <v>4</v>
      </c>
      <c r="AC8" s="25" t="str">
        <f aca="false">IF(Z8&gt;=90,"OURO",IF(Z8&gt;=80,"PRATA",IF(Z8&gt;=70,"BRONZE","-")))</f>
        <v>-</v>
      </c>
    </row>
    <row r="9" customFormat="false" ht="23.85" hidden="false" customHeight="false" outlineLevel="0" collapsed="false">
      <c r="A9" s="19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4" t="n">
        <f aca="false">(C9/10)*15</f>
        <v>0</v>
      </c>
      <c r="P9" s="24" t="n">
        <f aca="false">(D9/10)*10</f>
        <v>0</v>
      </c>
      <c r="Q9" s="24" t="n">
        <f aca="false">(E9/10)*10</f>
        <v>0</v>
      </c>
      <c r="R9" s="24" t="n">
        <f aca="false">(F9/10)*15</f>
        <v>0</v>
      </c>
      <c r="S9" s="24" t="n">
        <f aca="false">(G9/10)*15</f>
        <v>0</v>
      </c>
      <c r="T9" s="24" t="n">
        <f aca="false">(H9/10)*10</f>
        <v>0</v>
      </c>
      <c r="U9" s="24" t="n">
        <f aca="false">(I9/10)*10</f>
        <v>0</v>
      </c>
      <c r="V9" s="24" t="n">
        <f aca="false">(J9/10)*10</f>
        <v>0</v>
      </c>
      <c r="W9" s="24" t="n">
        <f aca="false">(K9/10)*5</f>
        <v>0</v>
      </c>
      <c r="X9" s="24" t="n">
        <f aca="false">SUM(O9:W9)</f>
        <v>0</v>
      </c>
      <c r="Y9" s="24" t="n">
        <f aca="false">L9*10+M9*15+IF(N9="S",30,0)</f>
        <v>0</v>
      </c>
      <c r="Z9" s="24" t="n">
        <f aca="false">MAX(0,X9-Y9)</f>
        <v>0</v>
      </c>
      <c r="AA9" s="25" t="str">
        <f aca="false">IF(OR(L9&gt;0,N9="S"),"NAO",IF(Z9&lt;60,"NAO (abaixo do minimo)","SIM"))</f>
        <v>NAO (abaixo do minimo)</v>
      </c>
      <c r="AB9" s="25" t="n">
        <f aca="false">RANK(Z9,$Z$5:$Z$14)</f>
        <v>4</v>
      </c>
      <c r="AC9" s="25" t="str">
        <f aca="false">IF(Z9&gt;=90,"OURO",IF(Z9&gt;=80,"PRATA",IF(Z9&gt;=70,"BRONZE","-")))</f>
        <v>-</v>
      </c>
    </row>
    <row r="10" customFormat="false" ht="23.85" hidden="false" customHeight="false" outlineLevel="0" collapsed="false">
      <c r="A10" s="19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4" t="n">
        <f aca="false">(C10/10)*15</f>
        <v>0</v>
      </c>
      <c r="P10" s="24" t="n">
        <f aca="false">(D10/10)*10</f>
        <v>0</v>
      </c>
      <c r="Q10" s="24" t="n">
        <f aca="false">(E10/10)*10</f>
        <v>0</v>
      </c>
      <c r="R10" s="24" t="n">
        <f aca="false">(F10/10)*15</f>
        <v>0</v>
      </c>
      <c r="S10" s="24" t="n">
        <f aca="false">(G10/10)*15</f>
        <v>0</v>
      </c>
      <c r="T10" s="24" t="n">
        <f aca="false">(H10/10)*10</f>
        <v>0</v>
      </c>
      <c r="U10" s="24" t="n">
        <f aca="false">(I10/10)*10</f>
        <v>0</v>
      </c>
      <c r="V10" s="24" t="n">
        <f aca="false">(J10/10)*10</f>
        <v>0</v>
      </c>
      <c r="W10" s="24" t="n">
        <f aca="false">(K10/10)*5</f>
        <v>0</v>
      </c>
      <c r="X10" s="24" t="n">
        <f aca="false">SUM(O10:W10)</f>
        <v>0</v>
      </c>
      <c r="Y10" s="24" t="n">
        <f aca="false">L10*10+M10*15+IF(N10="S",30,0)</f>
        <v>0</v>
      </c>
      <c r="Z10" s="24" t="n">
        <f aca="false">MAX(0,X10-Y10)</f>
        <v>0</v>
      </c>
      <c r="AA10" s="25" t="str">
        <f aca="false">IF(OR(L10&gt;0,N10="S"),"NAO",IF(Z10&lt;60,"NAO (abaixo do minimo)","SIM"))</f>
        <v>NAO (abaixo do minimo)</v>
      </c>
      <c r="AB10" s="25" t="n">
        <f aca="false">RANK(Z10,$Z$5:$Z$14)</f>
        <v>4</v>
      </c>
      <c r="AC10" s="25" t="str">
        <f aca="false">IF(Z10&gt;=90,"OURO",IF(Z10&gt;=80,"PRATA",IF(Z10&gt;=70,"BRONZE","-")))</f>
        <v>-</v>
      </c>
    </row>
    <row r="11" customFormat="false" ht="23.85" hidden="false" customHeight="false" outlineLevel="0" collapsed="false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4" t="n">
        <f aca="false">(C11/10)*15</f>
        <v>0</v>
      </c>
      <c r="P11" s="24" t="n">
        <f aca="false">(D11/10)*10</f>
        <v>0</v>
      </c>
      <c r="Q11" s="24" t="n">
        <f aca="false">(E11/10)*10</f>
        <v>0</v>
      </c>
      <c r="R11" s="24" t="n">
        <f aca="false">(F11/10)*15</f>
        <v>0</v>
      </c>
      <c r="S11" s="24" t="n">
        <f aca="false">(G11/10)*15</f>
        <v>0</v>
      </c>
      <c r="T11" s="24" t="n">
        <f aca="false">(H11/10)*10</f>
        <v>0</v>
      </c>
      <c r="U11" s="24" t="n">
        <f aca="false">(I11/10)*10</f>
        <v>0</v>
      </c>
      <c r="V11" s="24" t="n">
        <f aca="false">(J11/10)*10</f>
        <v>0</v>
      </c>
      <c r="W11" s="24" t="n">
        <f aca="false">(K11/10)*5</f>
        <v>0</v>
      </c>
      <c r="X11" s="24" t="n">
        <f aca="false">SUM(O11:W11)</f>
        <v>0</v>
      </c>
      <c r="Y11" s="24" t="n">
        <f aca="false">L11*10+M11*15+IF(N11="S",30,0)</f>
        <v>0</v>
      </c>
      <c r="Z11" s="24" t="n">
        <f aca="false">MAX(0,X11-Y11)</f>
        <v>0</v>
      </c>
      <c r="AA11" s="25" t="str">
        <f aca="false">IF(OR(L11&gt;0,N11="S"),"NAO",IF(Z11&lt;60,"NAO (abaixo do minimo)","SIM"))</f>
        <v>NAO (abaixo do minimo)</v>
      </c>
      <c r="AB11" s="25" t="n">
        <f aca="false">RANK(Z11,$Z$5:$Z$14)</f>
        <v>4</v>
      </c>
      <c r="AC11" s="25" t="str">
        <f aca="false">IF(Z11&gt;=90,"OURO",IF(Z11&gt;=80,"PRATA",IF(Z11&gt;=70,"BRONZE","-")))</f>
        <v>-</v>
      </c>
    </row>
    <row r="12" customFormat="false" ht="23.85" hidden="false" customHeight="false" outlineLevel="0" collapsed="false">
      <c r="A12" s="19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4" t="n">
        <f aca="false">(C12/10)*15</f>
        <v>0</v>
      </c>
      <c r="P12" s="24" t="n">
        <f aca="false">(D12/10)*10</f>
        <v>0</v>
      </c>
      <c r="Q12" s="24" t="n">
        <f aca="false">(E12/10)*10</f>
        <v>0</v>
      </c>
      <c r="R12" s="24" t="n">
        <f aca="false">(F12/10)*15</f>
        <v>0</v>
      </c>
      <c r="S12" s="24" t="n">
        <f aca="false">(G12/10)*15</f>
        <v>0</v>
      </c>
      <c r="T12" s="24" t="n">
        <f aca="false">(H12/10)*10</f>
        <v>0</v>
      </c>
      <c r="U12" s="24" t="n">
        <f aca="false">(I12/10)*10</f>
        <v>0</v>
      </c>
      <c r="V12" s="24" t="n">
        <f aca="false">(J12/10)*10</f>
        <v>0</v>
      </c>
      <c r="W12" s="24" t="n">
        <f aca="false">(K12/10)*5</f>
        <v>0</v>
      </c>
      <c r="X12" s="24" t="n">
        <f aca="false">SUM(O12:W12)</f>
        <v>0</v>
      </c>
      <c r="Y12" s="24" t="n">
        <f aca="false">L12*10+M12*15+IF(N12="S",30,0)</f>
        <v>0</v>
      </c>
      <c r="Z12" s="24" t="n">
        <f aca="false">MAX(0,X12-Y12)</f>
        <v>0</v>
      </c>
      <c r="AA12" s="25" t="str">
        <f aca="false">IF(OR(L12&gt;0,N12="S"),"NAO",IF(Z12&lt;60,"NAO (abaixo do minimo)","SIM"))</f>
        <v>NAO (abaixo do minimo)</v>
      </c>
      <c r="AB12" s="25" t="n">
        <f aca="false">RANK(Z12,$Z$5:$Z$14)</f>
        <v>4</v>
      </c>
      <c r="AC12" s="25" t="str">
        <f aca="false">IF(Z12&gt;=90,"OURO",IF(Z12&gt;=80,"PRATA",IF(Z12&gt;=70,"BRONZE","-")))</f>
        <v>-</v>
      </c>
    </row>
    <row r="13" customFormat="false" ht="23.85" hidden="false" customHeight="false" outlineLevel="0" collapsed="false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4" t="n">
        <f aca="false">(C13/10)*15</f>
        <v>0</v>
      </c>
      <c r="P13" s="24" t="n">
        <f aca="false">(D13/10)*10</f>
        <v>0</v>
      </c>
      <c r="Q13" s="24" t="n">
        <f aca="false">(E13/10)*10</f>
        <v>0</v>
      </c>
      <c r="R13" s="24" t="n">
        <f aca="false">(F13/10)*15</f>
        <v>0</v>
      </c>
      <c r="S13" s="24" t="n">
        <f aca="false">(G13/10)*15</f>
        <v>0</v>
      </c>
      <c r="T13" s="24" t="n">
        <f aca="false">(H13/10)*10</f>
        <v>0</v>
      </c>
      <c r="U13" s="24" t="n">
        <f aca="false">(I13/10)*10</f>
        <v>0</v>
      </c>
      <c r="V13" s="24" t="n">
        <f aca="false">(J13/10)*10</f>
        <v>0</v>
      </c>
      <c r="W13" s="24" t="n">
        <f aca="false">(K13/10)*5</f>
        <v>0</v>
      </c>
      <c r="X13" s="24" t="n">
        <f aca="false">SUM(O13:W13)</f>
        <v>0</v>
      </c>
      <c r="Y13" s="24" t="n">
        <f aca="false">L13*10+M13*15+IF(N13="S",30,0)</f>
        <v>0</v>
      </c>
      <c r="Z13" s="24" t="n">
        <f aca="false">MAX(0,X13-Y13)</f>
        <v>0</v>
      </c>
      <c r="AA13" s="25" t="str">
        <f aca="false">IF(OR(L13&gt;0,N13="S"),"NAO",IF(Z13&lt;60,"NAO (abaixo do minimo)","SIM"))</f>
        <v>NAO (abaixo do minimo)</v>
      </c>
      <c r="AB13" s="25" t="n">
        <f aca="false">RANK(Z13,$Z$5:$Z$14)</f>
        <v>4</v>
      </c>
      <c r="AC13" s="25" t="str">
        <f aca="false">IF(Z13&gt;=90,"OURO",IF(Z13&gt;=80,"PRATA",IF(Z13&gt;=70,"BRONZE","-")))</f>
        <v>-</v>
      </c>
    </row>
    <row r="14" customFormat="false" ht="23.85" hidden="false" customHeight="false" outlineLevel="0" collapsed="false">
      <c r="A14" s="19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4" t="n">
        <f aca="false">(C14/10)*15</f>
        <v>0</v>
      </c>
      <c r="P14" s="24" t="n">
        <f aca="false">(D14/10)*10</f>
        <v>0</v>
      </c>
      <c r="Q14" s="24" t="n">
        <f aca="false">(E14/10)*10</f>
        <v>0</v>
      </c>
      <c r="R14" s="24" t="n">
        <f aca="false">(F14/10)*15</f>
        <v>0</v>
      </c>
      <c r="S14" s="24" t="n">
        <f aca="false">(G14/10)*15</f>
        <v>0</v>
      </c>
      <c r="T14" s="24" t="n">
        <f aca="false">(H14/10)*10</f>
        <v>0</v>
      </c>
      <c r="U14" s="24" t="n">
        <f aca="false">(I14/10)*10</f>
        <v>0</v>
      </c>
      <c r="V14" s="24" t="n">
        <f aca="false">(J14/10)*10</f>
        <v>0</v>
      </c>
      <c r="W14" s="24" t="n">
        <f aca="false">(K14/10)*5</f>
        <v>0</v>
      </c>
      <c r="X14" s="24" t="n">
        <f aca="false">SUM(O14:W14)</f>
        <v>0</v>
      </c>
      <c r="Y14" s="24" t="n">
        <f aca="false">L14*10+M14*15+IF(N14="S",30,0)</f>
        <v>0</v>
      </c>
      <c r="Z14" s="24" t="n">
        <f aca="false">MAX(0,X14-Y14)</f>
        <v>0</v>
      </c>
      <c r="AA14" s="25" t="str">
        <f aca="false">IF(OR(L14&gt;0,N14="S"),"NAO",IF(Z14&lt;60,"NAO (abaixo do minimo)","SIM"))</f>
        <v>NAO (abaixo do minimo)</v>
      </c>
      <c r="AB14" s="25" t="n">
        <f aca="false">RANK(Z14,$Z$5:$Z$14)</f>
        <v>4</v>
      </c>
      <c r="AC14" s="25" t="str">
        <f aca="false">IF(Z14&gt;=90,"OURO",IF(Z14&gt;=80,"PRATA",IF(Z14&gt;=70,"BRONZE","-")))</f>
        <v>-</v>
      </c>
    </row>
  </sheetData>
  <mergeCells count="2">
    <mergeCell ref="A1:AC1"/>
    <mergeCell ref="A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4" t="s">
        <v>133</v>
      </c>
      <c r="B1" s="4"/>
      <c r="C1" s="4"/>
      <c r="D1" s="4"/>
      <c r="E1" s="4"/>
      <c r="F1" s="4"/>
      <c r="G1" s="4"/>
    </row>
    <row r="2" customFormat="false" ht="19.5" hidden="false" customHeight="true" outlineLevel="0" collapsed="false">
      <c r="A2" s="5" t="s">
        <v>134</v>
      </c>
      <c r="B2" s="5"/>
      <c r="C2" s="5"/>
      <c r="D2" s="5"/>
      <c r="E2" s="5"/>
      <c r="F2" s="5"/>
      <c r="G2" s="5"/>
    </row>
    <row r="4" customFormat="false" ht="39.75" hidden="false" customHeight="true" outlineLevel="0" collapsed="false">
      <c r="A4" s="11" t="s">
        <v>135</v>
      </c>
      <c r="B4" s="11" t="s">
        <v>136</v>
      </c>
      <c r="C4" s="11" t="s">
        <v>137</v>
      </c>
      <c r="D4" s="11" t="s">
        <v>138</v>
      </c>
      <c r="E4" s="11" t="s">
        <v>139</v>
      </c>
      <c r="F4" s="11" t="s">
        <v>140</v>
      </c>
      <c r="G4" s="11" t="s">
        <v>141</v>
      </c>
    </row>
    <row r="5" customFormat="false" ht="19.5" hidden="false" customHeight="true" outlineLevel="0" collapsed="false">
      <c r="A5" s="26" t="s">
        <v>142</v>
      </c>
      <c r="B5" s="27" t="str">
        <f aca="false">IFERROR(INDEX(Vendedores!$A$12:$A$21,MATCH(C5,Vendedores!$Y$12:$Y$21,0)),"(revisar manualmente)")</f>
        <v>Rafael Torres (exemplo)</v>
      </c>
      <c r="C5" s="24" t="n">
        <f aca="false">IFERROR(_xlfn.MAXIFS(Vendedores!$Y$12:$Y$21,Vendedores!$Z$12:$Z$21,"SIM"),0)</f>
        <v>100</v>
      </c>
      <c r="D5" s="25" t="str">
        <f aca="false">IFERROR(INDEX(Vendedores!$AB$12:$AB$21,MATCH(C5,Vendedores!$Y$12:$Y$21,0)),"-")</f>
        <v>OURO</v>
      </c>
      <c r="E5" s="28" t="s">
        <v>50</v>
      </c>
      <c r="F5" s="21" t="n">
        <v>200</v>
      </c>
      <c r="G5" s="28" t="s">
        <v>143</v>
      </c>
    </row>
    <row r="6" customFormat="false" ht="19.5" hidden="false" customHeight="true" outlineLevel="0" collapsed="false">
      <c r="A6" s="26" t="s">
        <v>144</v>
      </c>
      <c r="B6" s="27" t="str">
        <f aca="false">IFERROR(INDEX(Fabricadores!$A$12:$A$21,MATCH(C6,Fabricadores!$X$12:$X$21,0)),"(revisar manualmente)")</f>
        <v>Diego Ramos (exemplo)</v>
      </c>
      <c r="C6" s="24" t="n">
        <f aca="false">IFERROR(_xlfn.MAXIFS(Fabricadores!$X$12:$X$21,Fabricadores!$Y$12:$Y$21,"SIM"),0)</f>
        <v>91.9318181818182</v>
      </c>
      <c r="D6" s="25" t="str">
        <f aca="false">IFERROR(INDEX(Fabricadores!$AA$12:$AA$21,MATCH(C6,Fabricadores!$X$12:$X$21,0)),"-")</f>
        <v>OURO</v>
      </c>
      <c r="E6" s="28" t="s">
        <v>78</v>
      </c>
      <c r="F6" s="21" t="n">
        <v>200</v>
      </c>
      <c r="G6" s="28" t="s">
        <v>145</v>
      </c>
    </row>
    <row r="7" customFormat="false" ht="19.5" hidden="false" customHeight="true" outlineLevel="0" collapsed="false">
      <c r="A7" s="26" t="s">
        <v>146</v>
      </c>
      <c r="B7" s="27" t="str">
        <f aca="false">IFERROR(INDEX(Entregadores!$A$12:$A$21,MATCH(C7,Entregadores!$AA$12:$AA$21,0)),"(revisar manualmente)")</f>
        <v>Bruno Alves (exemplo)</v>
      </c>
      <c r="C7" s="24" t="n">
        <f aca="false">IFERROR(_xlfn.MAXIFS(Entregadores!$AA$12:$AA$21,Entregadores!$AB$12:$AB$21,"SIM"),0)</f>
        <v>99</v>
      </c>
      <c r="D7" s="25" t="str">
        <f aca="false">IFERROR(INDEX(Entregadores!$AD$12:$AD$21,MATCH(C7,Entregadores!$AA$12:$AA$21,0)),"-")</f>
        <v>OURO</v>
      </c>
      <c r="E7" s="28" t="s">
        <v>105</v>
      </c>
      <c r="F7" s="21" t="n">
        <v>200</v>
      </c>
      <c r="G7" s="28" t="s">
        <v>147</v>
      </c>
    </row>
    <row r="8" customFormat="false" ht="19.5" hidden="false" customHeight="true" outlineLevel="0" collapsed="false">
      <c r="A8" s="26" t="s">
        <v>148</v>
      </c>
      <c r="B8" s="27" t="str">
        <f aca="false">IFERROR(INDEX('Destaque do Mes'!$A$5:$A$14,MATCH(C8,'Destaque do Mes'!$Z$5:$Z$14,0)),"(revisar manualmente)")</f>
        <v>Rafael Torres (exemplo)</v>
      </c>
      <c r="C8" s="24" t="n">
        <f aca="false">IFERROR(_xlfn.MAXIFS('Destaque do Mes'!$Z$5:$Z$14,'Destaque do Mes'!$AA$5:$AA$14,"SIM"),0)</f>
        <v>91.5</v>
      </c>
      <c r="D8" s="25" t="str">
        <f aca="false">IFERROR(INDEX('Destaque do Mes'!$AC$5:$AC$14,MATCH(C8,'Destaque do Mes'!$Z$5:$Z$14,0)),"-")</f>
        <v>OURO</v>
      </c>
      <c r="E8" s="28" t="s">
        <v>50</v>
      </c>
      <c r="F8" s="21" t="n">
        <v>300</v>
      </c>
      <c r="G8" s="28" t="s">
        <v>149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14" min="3" style="0" width="8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10"/>
    <col collapsed="false" customWidth="true" hidden="false" outlineLevel="0" max="24" min="23" style="0" width="11"/>
  </cols>
  <sheetData>
    <row r="1" customFormat="false" ht="25.5" hidden="false" customHeight="true" outlineLevel="0" collapsed="false">
      <c r="A1" s="4" t="s">
        <v>150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19.5" hidden="false" customHeight="true" outlineLevel="0" collapsed="false">
      <c r="A2" s="5" t="s">
        <v>151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4" customFormat="false" ht="39.75" hidden="false" customHeight="true" outlineLevel="0" collapsed="false">
      <c r="A4" s="11" t="s">
        <v>110</v>
      </c>
      <c r="B4" s="11" t="s">
        <v>111</v>
      </c>
      <c r="C4" s="11" t="s">
        <v>152</v>
      </c>
      <c r="D4" s="11" t="s">
        <v>153</v>
      </c>
      <c r="E4" s="11" t="s">
        <v>154</v>
      </c>
      <c r="F4" s="11" t="s">
        <v>155</v>
      </c>
      <c r="G4" s="11" t="s">
        <v>156</v>
      </c>
      <c r="H4" s="11" t="s">
        <v>157</v>
      </c>
      <c r="I4" s="11" t="s">
        <v>158</v>
      </c>
      <c r="J4" s="11" t="s">
        <v>159</v>
      </c>
      <c r="K4" s="11" t="s">
        <v>160</v>
      </c>
      <c r="L4" s="11" t="s">
        <v>161</v>
      </c>
      <c r="M4" s="11" t="s">
        <v>162</v>
      </c>
      <c r="N4" s="11" t="s">
        <v>163</v>
      </c>
      <c r="O4" s="11" t="s">
        <v>164</v>
      </c>
      <c r="P4" s="11" t="s">
        <v>165</v>
      </c>
      <c r="Q4" s="11" t="s">
        <v>166</v>
      </c>
      <c r="R4" s="11" t="s">
        <v>167</v>
      </c>
      <c r="S4" s="11" t="s">
        <v>168</v>
      </c>
      <c r="T4" s="11" t="s">
        <v>169</v>
      </c>
      <c r="U4" s="11" t="s">
        <v>170</v>
      </c>
      <c r="V4" s="11" t="s">
        <v>171</v>
      </c>
      <c r="W4" s="11" t="s">
        <v>172</v>
      </c>
      <c r="X4" s="11" t="s">
        <v>173</v>
      </c>
    </row>
    <row r="5" customFormat="false" ht="15" hidden="false" customHeight="false" outlineLevel="0" collapsed="false">
      <c r="A5" s="12" t="s">
        <v>50</v>
      </c>
      <c r="B5" s="14" t="s">
        <v>130</v>
      </c>
      <c r="C5" s="14" t="n">
        <v>95</v>
      </c>
      <c r="D5" s="14" t="n">
        <v>97</v>
      </c>
      <c r="E5" s="14" t="n">
        <v>100</v>
      </c>
      <c r="F5" s="14"/>
      <c r="G5" s="14"/>
      <c r="H5" s="14"/>
      <c r="I5" s="14"/>
      <c r="J5" s="14"/>
      <c r="K5" s="14"/>
      <c r="L5" s="14"/>
      <c r="M5" s="14"/>
      <c r="N5" s="14"/>
      <c r="O5" s="17" t="n">
        <f aca="false">IFERROR(AVERAGE(C5:E5),0)</f>
        <v>97.3333333333333</v>
      </c>
      <c r="P5" s="18" t="str">
        <f aca="false">IF(O5&gt;=90,"OURO",IF(O5&gt;=80,"PRATA",IF(O5&gt;=70,"BRONZE","-")))</f>
        <v>OURO</v>
      </c>
      <c r="Q5" s="17" t="n">
        <f aca="false">IFERROR(AVERAGE(F5:H5),0)</f>
        <v>0</v>
      </c>
      <c r="R5" s="18" t="str">
        <f aca="false">IF(Q5&gt;=90,"OURO",IF(Q5&gt;=80,"PRATA",IF(Q5&gt;=70,"BRONZE","-")))</f>
        <v>-</v>
      </c>
      <c r="S5" s="17" t="n">
        <f aca="false">IFERROR(AVERAGE(I5:K5),0)</f>
        <v>0</v>
      </c>
      <c r="T5" s="18" t="str">
        <f aca="false">IF(S5&gt;=90,"OURO",IF(S5&gt;=80,"PRATA",IF(S5&gt;=70,"BRONZE","-")))</f>
        <v>-</v>
      </c>
      <c r="U5" s="17" t="n">
        <f aca="false">IFERROR(AVERAGE(L5:N5),0)</f>
        <v>0</v>
      </c>
      <c r="V5" s="18" t="str">
        <f aca="false">IF(U5&gt;=90,"OURO",IF(U5&gt;=80,"PRATA",IF(U5&gt;=70,"BRONZE","-")))</f>
        <v>-</v>
      </c>
      <c r="W5" s="17" t="n">
        <f aca="false">IFERROR(AVERAGE(C5:N5),0)</f>
        <v>97.3333333333333</v>
      </c>
      <c r="X5" s="18" t="str">
        <f aca="false">IF(W5&gt;=90,"OURO",IF(W5&gt;=80,"PRATA",IF(W5&gt;=70,"BRONZE","-")))</f>
        <v>OURO</v>
      </c>
    </row>
    <row r="6" customFormat="false" ht="15" hidden="false" customHeight="false" outlineLevel="0" collapsed="false">
      <c r="A6" s="12" t="s">
        <v>78</v>
      </c>
      <c r="B6" s="14" t="s">
        <v>131</v>
      </c>
      <c r="C6" s="14" t="n">
        <v>88</v>
      </c>
      <c r="D6" s="14" t="n">
        <v>90</v>
      </c>
      <c r="E6" s="14" t="n">
        <v>91.9</v>
      </c>
      <c r="F6" s="14"/>
      <c r="G6" s="14"/>
      <c r="H6" s="14"/>
      <c r="I6" s="14"/>
      <c r="J6" s="14"/>
      <c r="K6" s="14"/>
      <c r="L6" s="14"/>
      <c r="M6" s="14"/>
      <c r="N6" s="14"/>
      <c r="O6" s="17" t="n">
        <f aca="false">IFERROR(AVERAGE(C6:E6),0)</f>
        <v>89.9666666666667</v>
      </c>
      <c r="P6" s="18" t="str">
        <f aca="false">IF(O6&gt;=90,"OURO",IF(O6&gt;=80,"PRATA",IF(O6&gt;=70,"BRONZE","-")))</f>
        <v>PRATA</v>
      </c>
      <c r="Q6" s="17" t="n">
        <f aca="false">IFERROR(AVERAGE(F6:H6),0)</f>
        <v>0</v>
      </c>
      <c r="R6" s="18" t="str">
        <f aca="false">IF(Q6&gt;=90,"OURO",IF(Q6&gt;=80,"PRATA",IF(Q6&gt;=70,"BRONZE","-")))</f>
        <v>-</v>
      </c>
      <c r="S6" s="17" t="n">
        <f aca="false">IFERROR(AVERAGE(I6:K6),0)</f>
        <v>0</v>
      </c>
      <c r="T6" s="18" t="str">
        <f aca="false">IF(S6&gt;=90,"OURO",IF(S6&gt;=80,"PRATA",IF(S6&gt;=70,"BRONZE","-")))</f>
        <v>-</v>
      </c>
      <c r="U6" s="17" t="n">
        <f aca="false">IFERROR(AVERAGE(L6:N6),0)</f>
        <v>0</v>
      </c>
      <c r="V6" s="18" t="str">
        <f aca="false">IF(U6&gt;=90,"OURO",IF(U6&gt;=80,"PRATA",IF(U6&gt;=70,"BRONZE","-")))</f>
        <v>-</v>
      </c>
      <c r="W6" s="17" t="n">
        <f aca="false">IFERROR(AVERAGE(C6:N6),0)</f>
        <v>89.9666666666667</v>
      </c>
      <c r="X6" s="18" t="str">
        <f aca="false">IF(W6&gt;=90,"OURO",IF(W6&gt;=80,"PRATA",IF(W6&gt;=70,"BRONZE","-")))</f>
        <v>PRATA</v>
      </c>
    </row>
    <row r="7" customFormat="false" ht="15" hidden="false" customHeight="false" outlineLevel="0" collapsed="false">
      <c r="A7" s="12" t="s">
        <v>105</v>
      </c>
      <c r="B7" s="14" t="s">
        <v>132</v>
      </c>
      <c r="C7" s="14" t="n">
        <v>93</v>
      </c>
      <c r="D7" s="14" t="n">
        <v>97</v>
      </c>
      <c r="E7" s="14" t="n">
        <v>99</v>
      </c>
      <c r="F7" s="14"/>
      <c r="G7" s="14"/>
      <c r="H7" s="14"/>
      <c r="I7" s="14"/>
      <c r="J7" s="14"/>
      <c r="K7" s="14"/>
      <c r="L7" s="14"/>
      <c r="M7" s="14"/>
      <c r="N7" s="14"/>
      <c r="O7" s="17" t="n">
        <f aca="false">IFERROR(AVERAGE(C7:E7),0)</f>
        <v>96.3333333333333</v>
      </c>
      <c r="P7" s="18" t="str">
        <f aca="false">IF(O7&gt;=90,"OURO",IF(O7&gt;=80,"PRATA",IF(O7&gt;=70,"BRONZE","-")))</f>
        <v>OURO</v>
      </c>
      <c r="Q7" s="17" t="n">
        <f aca="false">IFERROR(AVERAGE(F7:H7),0)</f>
        <v>0</v>
      </c>
      <c r="R7" s="18" t="str">
        <f aca="false">IF(Q7&gt;=90,"OURO",IF(Q7&gt;=80,"PRATA",IF(Q7&gt;=70,"BRONZE","-")))</f>
        <v>-</v>
      </c>
      <c r="S7" s="17" t="n">
        <f aca="false">IFERROR(AVERAGE(I7:K7),0)</f>
        <v>0</v>
      </c>
      <c r="T7" s="18" t="str">
        <f aca="false">IF(S7&gt;=90,"OURO",IF(S7&gt;=80,"PRATA",IF(S7&gt;=70,"BRONZE","-")))</f>
        <v>-</v>
      </c>
      <c r="U7" s="17" t="n">
        <f aca="false">IFERROR(AVERAGE(L7:N7),0)</f>
        <v>0</v>
      </c>
      <c r="V7" s="18" t="str">
        <f aca="false">IF(U7&gt;=90,"OURO",IF(U7&gt;=80,"PRATA",IF(U7&gt;=70,"BRONZE","-")))</f>
        <v>-</v>
      </c>
      <c r="W7" s="17" t="n">
        <f aca="false">IFERROR(AVERAGE(C7:N7),0)</f>
        <v>96.3333333333333</v>
      </c>
      <c r="X7" s="18" t="str">
        <f aca="false">IF(W7&gt;=90,"OURO",IF(W7&gt;=80,"PRATA",IF(W7&gt;=70,"BRONZE","-")))</f>
        <v>OURO</v>
      </c>
    </row>
    <row r="8" customFormat="false" ht="15" hidden="false" customHeight="false" outlineLevel="0" collapsed="false">
      <c r="A8" s="19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4" t="n">
        <f aca="false">IFERROR(AVERAGE(C8:E8),0)</f>
        <v>0</v>
      </c>
      <c r="P8" s="25" t="str">
        <f aca="false">IF(O8&gt;=90,"OURO",IF(O8&gt;=80,"PRATA",IF(O8&gt;=70,"BRONZE","-")))</f>
        <v>-</v>
      </c>
      <c r="Q8" s="24" t="n">
        <f aca="false">IFERROR(AVERAGE(F8:H8),0)</f>
        <v>0</v>
      </c>
      <c r="R8" s="25" t="str">
        <f aca="false">IF(Q8&gt;=90,"OURO",IF(Q8&gt;=80,"PRATA",IF(Q8&gt;=70,"BRONZE","-")))</f>
        <v>-</v>
      </c>
      <c r="S8" s="24" t="n">
        <f aca="false">IFERROR(AVERAGE(I8:K8),0)</f>
        <v>0</v>
      </c>
      <c r="T8" s="25" t="str">
        <f aca="false">IF(S8&gt;=90,"OURO",IF(S8&gt;=80,"PRATA",IF(S8&gt;=70,"BRONZE","-")))</f>
        <v>-</v>
      </c>
      <c r="U8" s="24" t="n">
        <f aca="false">IFERROR(AVERAGE(L8:N8),0)</f>
        <v>0</v>
      </c>
      <c r="V8" s="25" t="str">
        <f aca="false">IF(U8&gt;=90,"OURO",IF(U8&gt;=80,"PRATA",IF(U8&gt;=70,"BRONZE","-")))</f>
        <v>-</v>
      </c>
      <c r="W8" s="24" t="n">
        <f aca="false">IFERROR(AVERAGE(C8:N8),0)</f>
        <v>0</v>
      </c>
      <c r="X8" s="25" t="str">
        <f aca="false">IF(W8&gt;=90,"OURO",IF(W8&gt;=80,"PRATA",IF(W8&gt;=70,"BRONZE","-")))</f>
        <v>-</v>
      </c>
    </row>
    <row r="9" customFormat="false" ht="15" hidden="false" customHeight="false" outlineLevel="0" collapsed="false">
      <c r="A9" s="19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4" t="n">
        <f aca="false">IFERROR(AVERAGE(C9:E9),0)</f>
        <v>0</v>
      </c>
      <c r="P9" s="25" t="str">
        <f aca="false">IF(O9&gt;=90,"OURO",IF(O9&gt;=80,"PRATA",IF(O9&gt;=70,"BRONZE","-")))</f>
        <v>-</v>
      </c>
      <c r="Q9" s="24" t="n">
        <f aca="false">IFERROR(AVERAGE(F9:H9),0)</f>
        <v>0</v>
      </c>
      <c r="R9" s="25" t="str">
        <f aca="false">IF(Q9&gt;=90,"OURO",IF(Q9&gt;=80,"PRATA",IF(Q9&gt;=70,"BRONZE","-")))</f>
        <v>-</v>
      </c>
      <c r="S9" s="24" t="n">
        <f aca="false">IFERROR(AVERAGE(I9:K9),0)</f>
        <v>0</v>
      </c>
      <c r="T9" s="25" t="str">
        <f aca="false">IF(S9&gt;=90,"OURO",IF(S9&gt;=80,"PRATA",IF(S9&gt;=70,"BRONZE","-")))</f>
        <v>-</v>
      </c>
      <c r="U9" s="24" t="n">
        <f aca="false">IFERROR(AVERAGE(L9:N9),0)</f>
        <v>0</v>
      </c>
      <c r="V9" s="25" t="str">
        <f aca="false">IF(U9&gt;=90,"OURO",IF(U9&gt;=80,"PRATA",IF(U9&gt;=70,"BRONZE","-")))</f>
        <v>-</v>
      </c>
      <c r="W9" s="24" t="n">
        <f aca="false">IFERROR(AVERAGE(C9:N9),0)</f>
        <v>0</v>
      </c>
      <c r="X9" s="25" t="str">
        <f aca="false">IF(W9&gt;=90,"OURO",IF(W9&gt;=80,"PRATA",IF(W9&gt;=70,"BRONZE","-")))</f>
        <v>-</v>
      </c>
    </row>
    <row r="10" customFormat="false" ht="15" hidden="false" customHeight="false" outlineLevel="0" collapsed="false">
      <c r="A10" s="19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4" t="n">
        <f aca="false">IFERROR(AVERAGE(C10:E10),0)</f>
        <v>0</v>
      </c>
      <c r="P10" s="25" t="str">
        <f aca="false">IF(O10&gt;=90,"OURO",IF(O10&gt;=80,"PRATA",IF(O10&gt;=70,"BRONZE","-")))</f>
        <v>-</v>
      </c>
      <c r="Q10" s="24" t="n">
        <f aca="false">IFERROR(AVERAGE(F10:H10),0)</f>
        <v>0</v>
      </c>
      <c r="R10" s="25" t="str">
        <f aca="false">IF(Q10&gt;=90,"OURO",IF(Q10&gt;=80,"PRATA",IF(Q10&gt;=70,"BRONZE","-")))</f>
        <v>-</v>
      </c>
      <c r="S10" s="24" t="n">
        <f aca="false">IFERROR(AVERAGE(I10:K10),0)</f>
        <v>0</v>
      </c>
      <c r="T10" s="25" t="str">
        <f aca="false">IF(S10&gt;=90,"OURO",IF(S10&gt;=80,"PRATA",IF(S10&gt;=70,"BRONZE","-")))</f>
        <v>-</v>
      </c>
      <c r="U10" s="24" t="n">
        <f aca="false">IFERROR(AVERAGE(L10:N10),0)</f>
        <v>0</v>
      </c>
      <c r="V10" s="25" t="str">
        <f aca="false">IF(U10&gt;=90,"OURO",IF(U10&gt;=80,"PRATA",IF(U10&gt;=70,"BRONZE","-")))</f>
        <v>-</v>
      </c>
      <c r="W10" s="24" t="n">
        <f aca="false">IFERROR(AVERAGE(C10:N10),0)</f>
        <v>0</v>
      </c>
      <c r="X10" s="25" t="str">
        <f aca="false">IF(W10&gt;=90,"OURO",IF(W10&gt;=80,"PRATA",IF(W10&gt;=70,"BRONZE","-")))</f>
        <v>-</v>
      </c>
    </row>
    <row r="11" customFormat="false" ht="15" hidden="false" customHeight="false" outlineLevel="0" collapsed="false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4" t="n">
        <f aca="false">IFERROR(AVERAGE(C11:E11),0)</f>
        <v>0</v>
      </c>
      <c r="P11" s="25" t="str">
        <f aca="false">IF(O11&gt;=90,"OURO",IF(O11&gt;=80,"PRATA",IF(O11&gt;=70,"BRONZE","-")))</f>
        <v>-</v>
      </c>
      <c r="Q11" s="24" t="n">
        <f aca="false">IFERROR(AVERAGE(F11:H11),0)</f>
        <v>0</v>
      </c>
      <c r="R11" s="25" t="str">
        <f aca="false">IF(Q11&gt;=90,"OURO",IF(Q11&gt;=80,"PRATA",IF(Q11&gt;=70,"BRONZE","-")))</f>
        <v>-</v>
      </c>
      <c r="S11" s="24" t="n">
        <f aca="false">IFERROR(AVERAGE(I11:K11),0)</f>
        <v>0</v>
      </c>
      <c r="T11" s="25" t="str">
        <f aca="false">IF(S11&gt;=90,"OURO",IF(S11&gt;=80,"PRATA",IF(S11&gt;=70,"BRONZE","-")))</f>
        <v>-</v>
      </c>
      <c r="U11" s="24" t="n">
        <f aca="false">IFERROR(AVERAGE(L11:N11),0)</f>
        <v>0</v>
      </c>
      <c r="V11" s="25" t="str">
        <f aca="false">IF(U11&gt;=90,"OURO",IF(U11&gt;=80,"PRATA",IF(U11&gt;=70,"BRONZE","-")))</f>
        <v>-</v>
      </c>
      <c r="W11" s="24" t="n">
        <f aca="false">IFERROR(AVERAGE(C11:N11),0)</f>
        <v>0</v>
      </c>
      <c r="X11" s="25" t="str">
        <f aca="false">IF(W11&gt;=90,"OURO",IF(W11&gt;=80,"PRATA",IF(W11&gt;=70,"BRONZE","-")))</f>
        <v>-</v>
      </c>
    </row>
    <row r="12" customFormat="false" ht="15" hidden="false" customHeight="false" outlineLevel="0" collapsed="false">
      <c r="A12" s="19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4" t="n">
        <f aca="false">IFERROR(AVERAGE(C12:E12),0)</f>
        <v>0</v>
      </c>
      <c r="P12" s="25" t="str">
        <f aca="false">IF(O12&gt;=90,"OURO",IF(O12&gt;=80,"PRATA",IF(O12&gt;=70,"BRONZE","-")))</f>
        <v>-</v>
      </c>
      <c r="Q12" s="24" t="n">
        <f aca="false">IFERROR(AVERAGE(F12:H12),0)</f>
        <v>0</v>
      </c>
      <c r="R12" s="25" t="str">
        <f aca="false">IF(Q12&gt;=90,"OURO",IF(Q12&gt;=80,"PRATA",IF(Q12&gt;=70,"BRONZE","-")))</f>
        <v>-</v>
      </c>
      <c r="S12" s="24" t="n">
        <f aca="false">IFERROR(AVERAGE(I12:K12),0)</f>
        <v>0</v>
      </c>
      <c r="T12" s="25" t="str">
        <f aca="false">IF(S12&gt;=90,"OURO",IF(S12&gt;=80,"PRATA",IF(S12&gt;=70,"BRONZE","-")))</f>
        <v>-</v>
      </c>
      <c r="U12" s="24" t="n">
        <f aca="false">IFERROR(AVERAGE(L12:N12),0)</f>
        <v>0</v>
      </c>
      <c r="V12" s="25" t="str">
        <f aca="false">IF(U12&gt;=90,"OURO",IF(U12&gt;=80,"PRATA",IF(U12&gt;=70,"BRONZE","-")))</f>
        <v>-</v>
      </c>
      <c r="W12" s="24" t="n">
        <f aca="false">IFERROR(AVERAGE(C12:N12),0)</f>
        <v>0</v>
      </c>
      <c r="X12" s="25" t="str">
        <f aca="false">IF(W12&gt;=90,"OURO",IF(W12&gt;=80,"PRATA",IF(W12&gt;=70,"BRONZE","-")))</f>
        <v>-</v>
      </c>
    </row>
    <row r="13" customFormat="false" ht="15" hidden="false" customHeight="false" outlineLevel="0" collapsed="false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4" t="n">
        <f aca="false">IFERROR(AVERAGE(C13:E13),0)</f>
        <v>0</v>
      </c>
      <c r="P13" s="25" t="str">
        <f aca="false">IF(O13&gt;=90,"OURO",IF(O13&gt;=80,"PRATA",IF(O13&gt;=70,"BRONZE","-")))</f>
        <v>-</v>
      </c>
      <c r="Q13" s="24" t="n">
        <f aca="false">IFERROR(AVERAGE(F13:H13),0)</f>
        <v>0</v>
      </c>
      <c r="R13" s="25" t="str">
        <f aca="false">IF(Q13&gt;=90,"OURO",IF(Q13&gt;=80,"PRATA",IF(Q13&gt;=70,"BRONZE","-")))</f>
        <v>-</v>
      </c>
      <c r="S13" s="24" t="n">
        <f aca="false">IFERROR(AVERAGE(I13:K13),0)</f>
        <v>0</v>
      </c>
      <c r="T13" s="25" t="str">
        <f aca="false">IF(S13&gt;=90,"OURO",IF(S13&gt;=80,"PRATA",IF(S13&gt;=70,"BRONZE","-")))</f>
        <v>-</v>
      </c>
      <c r="U13" s="24" t="n">
        <f aca="false">IFERROR(AVERAGE(L13:N13),0)</f>
        <v>0</v>
      </c>
      <c r="V13" s="25" t="str">
        <f aca="false">IF(U13&gt;=90,"OURO",IF(U13&gt;=80,"PRATA",IF(U13&gt;=70,"BRONZE","-")))</f>
        <v>-</v>
      </c>
      <c r="W13" s="24" t="n">
        <f aca="false">IFERROR(AVERAGE(C13:N13),0)</f>
        <v>0</v>
      </c>
      <c r="X13" s="25" t="str">
        <f aca="false">IF(W13&gt;=90,"OURO",IF(W13&gt;=80,"PRATA",IF(W13&gt;=70,"BRONZE","-")))</f>
        <v>-</v>
      </c>
    </row>
    <row r="14" customFormat="false" ht="15" hidden="false" customHeight="false" outlineLevel="0" collapsed="false">
      <c r="A14" s="19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4" t="n">
        <f aca="false">IFERROR(AVERAGE(C14:E14),0)</f>
        <v>0</v>
      </c>
      <c r="P14" s="25" t="str">
        <f aca="false">IF(O14&gt;=90,"OURO",IF(O14&gt;=80,"PRATA",IF(O14&gt;=70,"BRONZE","-")))</f>
        <v>-</v>
      </c>
      <c r="Q14" s="24" t="n">
        <f aca="false">IFERROR(AVERAGE(F14:H14),0)</f>
        <v>0</v>
      </c>
      <c r="R14" s="25" t="str">
        <f aca="false">IF(Q14&gt;=90,"OURO",IF(Q14&gt;=80,"PRATA",IF(Q14&gt;=70,"BRONZE","-")))</f>
        <v>-</v>
      </c>
      <c r="S14" s="24" t="n">
        <f aca="false">IFERROR(AVERAGE(I14:K14),0)</f>
        <v>0</v>
      </c>
      <c r="T14" s="25" t="str">
        <f aca="false">IF(S14&gt;=90,"OURO",IF(S14&gt;=80,"PRATA",IF(S14&gt;=70,"BRONZE","-")))</f>
        <v>-</v>
      </c>
      <c r="U14" s="24" t="n">
        <f aca="false">IFERROR(AVERAGE(L14:N14),0)</f>
        <v>0</v>
      </c>
      <c r="V14" s="25" t="str">
        <f aca="false">IF(U14&gt;=90,"OURO",IF(U14&gt;=80,"PRATA",IF(U14&gt;=70,"BRONZE","-")))</f>
        <v>-</v>
      </c>
      <c r="W14" s="24" t="n">
        <f aca="false">IFERROR(AVERAGE(C14:N14),0)</f>
        <v>0</v>
      </c>
      <c r="X14" s="25" t="str">
        <f aca="false">IF(W14&gt;=90,"OURO",IF(W14&gt;=80,"PRATA",IF(W14&gt;=70,"BRONZE","-")))</f>
        <v>-</v>
      </c>
    </row>
  </sheetData>
  <mergeCells count="2">
    <mergeCell ref="A1:X1"/>
    <mergeCell ref="A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2026-09-10T18:55:59Z</dcterms:created>
  <dc:creator>openpyxl</dc:creator>
  <dc:description/>
  <dc:language>en-US</dc:language>
  <cp:lastModifiedBy/>
  <dcterms:modified xsi:type="dcterms:W3CDTF">2026-09-10T18:55:59Z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